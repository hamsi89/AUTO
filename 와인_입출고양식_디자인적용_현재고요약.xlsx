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작업용\"/>
    </mc:Choice>
  </mc:AlternateContent>
  <xr:revisionPtr revIDLastSave="0" documentId="13_ncr:1_{DA592831-4A4D-46E4-8554-61952432BE6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출고가" sheetId="2" r:id="rId1"/>
    <sheet name="7월 스쿨 출고내역 " sheetId="3" r:id="rId2"/>
    <sheet name="와인_7월수불대장" sheetId="4" r:id="rId3"/>
    <sheet name="현재고_요약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10±Ý´_°è_ïÇ³">'[1]9612서울'!#REF!</definedName>
    <definedName name="_100Àü´_°è½Åº">'[1]9612서울'!#REF!</definedName>
    <definedName name="_102Àü´_°è¹Ì¸íµ¿">'[1]9612서울'!#REF!</definedName>
    <definedName name="_104Àü´_°è¹Ì_ó°è">'[1]9612서울'!#REF!</definedName>
    <definedName name="_106Àü´_°è¹ÌÃ_·_¸">'[1]9612서울'!#REF!</definedName>
    <definedName name="_108Àü´_°èÁø·Î">'[1]9612서울'!#REF!</definedName>
    <definedName name="_110Àü´_°èÇÑ°¶·¯">'[1]9612서울'!#REF!</definedName>
    <definedName name="_112Àü´_°èÇÑ½ÅÄÚ¾Æ">'[1]9612서울'!#REF!</definedName>
    <definedName name="_114Àü´_°èÇÑÀá½Ç">'[1]9612서울'!#REF!</definedName>
    <definedName name="_116Àü´_°èÇö¹">'[1]9612서울'!#REF!</definedName>
    <definedName name="_118Àü´_°èÇöº">'[1]9612서울'!#REF!</definedName>
    <definedName name="_12±Ý´_°è°¶·¯¸_¾Æ">'[1]9612서울'!#REF!</definedName>
    <definedName name="_120Àü´çÀÏ±×·_µå">'[1]9612서울'!#REF!</definedName>
    <definedName name="_122Àü´çÀÏ_ïÇ³">'[1]9612서울'!#REF!</definedName>
    <definedName name="_124Àü´çÀÏ·Ôº">'[1]9612서울'!#REF!</definedName>
    <definedName name="_126Àü´çÀÏ½ÅÃµÈ">'[1]9612서울'!#REF!</definedName>
    <definedName name="_128Àü´çÀÏ½Åº">'[1]9612서울'!#REF!</definedName>
    <definedName name="_130Àü´çÀÏ¹Ì_ó°è">'[1]9612서울'!#REF!</definedName>
    <definedName name="_132Àü´çÀÏ¹ÌÃ_·">'[1]9612서울'!#REF!</definedName>
    <definedName name="_134Àü´çÀÏÇö¹">'[1]9612서울'!#REF!</definedName>
    <definedName name="_136Àü´çÀÏÇöº">'[1]9612서울'!#REF!</definedName>
    <definedName name="_138Àü³â´_°è¾Ö°æ">'[1]9612서울'!#REF!</definedName>
    <definedName name="_14±Ý´_°è°Ç¿µ">'[1]9612서울'!#REF!</definedName>
    <definedName name="_16±Ý´_°è·Ô¿µ">'[1]9612서울'!#REF!</definedName>
    <definedName name="_18±Ý´_°è·Ô¿ù">'[1]9612서울'!#REF!</definedName>
    <definedName name="_2´ºº_94">'[1]9612서울'!#REF!</definedName>
    <definedName name="_20±Ý´_°è·ÔÀá">'[1]9612서울'!#REF!</definedName>
    <definedName name="_22±Ý´_°è·Ôº">'[1]9612서울'!#REF!</definedName>
    <definedName name="_24±Ý´_°è½Å¿µ">'[1]9612서울'!#REF!</definedName>
    <definedName name="_26±Ý´_°è½Åµ¿¹æ">'[1]9612서울'!#REF!</definedName>
    <definedName name="_28±Ý´_°è½Å¹Ì¾Æ">'[1]9612서울'!#REF!</definedName>
    <definedName name="_30±Ý´_°è½ÅÃµÈ">'[1]9612서울'!#REF!</definedName>
    <definedName name="_32±Ý´_°è½Åº">'[1]9612서울'!#REF!</definedName>
    <definedName name="_34±Ý´_°è¹Ì¸íµ¿">'[1]9612서울'!#REF!</definedName>
    <definedName name="_36±Ý´_°è¹Ì_ó°è">'[1]9612서울'!#REF!</definedName>
    <definedName name="_38±Ý´_°è¹ÌÃ_·">'[1]9612서울'!#REF!</definedName>
    <definedName name="_4±Ý´_°è´ºÇÕ">'[1]9612서울'!#REF!</definedName>
    <definedName name="_40±Ý´_°èÁø·Î">'[1]9612서울'!#REF!</definedName>
    <definedName name="_42±Ý´_°èÇÑ°¶·¯">'[1]9612서울'!#REF!</definedName>
    <definedName name="_44±Ý´_°èÇÑ½ÅÄÚ¾Æ">'[1]9612서울'!#REF!</definedName>
    <definedName name="_46±Ý´_°èÇÑÀá½Ç">'[1]9612서울'!#REF!</definedName>
    <definedName name="_48±Ý´_°èÇö¹">'[1]9612서울'!#REF!</definedName>
    <definedName name="_50±Ý´_°èÇöº">'[1]9612서울'!#REF!</definedName>
    <definedName name="_52±Ý´çÀÏ±×·_µå">'[1]9612서울'!#REF!</definedName>
    <definedName name="_54±Ý´çÀÏ_ïÇ³">'[1]9612서울'!#REF!</definedName>
    <definedName name="_56±Ý´çÀÏ·Ôº">'[1]9612서울'!#REF!</definedName>
    <definedName name="_58±Ý´çÀÏ½Åº">'[1]9612서울'!#REF!</definedName>
    <definedName name="_6±Ý´_°è±×·_µå">'[1]9612서울'!#REF!</definedName>
    <definedName name="_60±Ý´çÀÏ¹Ì_ó">'[1]9612서울'!#REF!</definedName>
    <definedName name="_62±Ý´çÀÏ¹ÌÃ">'[1]9612서울'!#REF!</definedName>
    <definedName name="_64±Ý´çÀÏÇö¹">'[1]9612서울'!#REF!</definedName>
    <definedName name="_66±Ý´çÀÏÇöº">'[1]9612서울'!#REF!</definedName>
    <definedName name="_68±Ý³â´_°è¾Ö°æ">'[1]9612서울'!#REF!</definedName>
    <definedName name="_70½Åº_94">'[1]9612서울'!#REF!</definedName>
    <definedName name="_72½Åº_95">'[1]9612서울'!#REF!</definedName>
    <definedName name="_74Àü´_°è´ºÇÕ">'[1]9612서울'!#REF!</definedName>
    <definedName name="_76Àü´_°è±×·_µå">'[1]9612서울'!#REF!</definedName>
    <definedName name="_78Àü´_°è±×·¹ÀÌ½º">'[1]9612서울'!#REF!</definedName>
    <definedName name="_8±Ý´_°è±×·¹ÀÌ½º">'[1]9612서울'!#REF!</definedName>
    <definedName name="_80Àü´_°è_ïÇ³">'[1]9612서울'!#REF!</definedName>
    <definedName name="_82Àü´_°è°Ç¿µ">'[1]9612서울'!#REF!</definedName>
    <definedName name="_84Àü´_°è·Ô¿µ">'[1]9612서울'!#REF!</definedName>
    <definedName name="_86Àü´_°è·Ô¿ù">'[1]9612서울'!#REF!</definedName>
    <definedName name="_88Àü´_°è·ÔÀá">'[1]9612서울'!#REF!</definedName>
    <definedName name="_90Àü´_°è·Ôº">'[1]9612서울'!#REF!</definedName>
    <definedName name="_92Àü´_°è½Å¿µ">'[1]9612서울'!#REF!</definedName>
    <definedName name="_94Àü´_°è½Åµ¿¹æ">'[1]9612서울'!#REF!</definedName>
    <definedName name="_96Àü´_°è½Å¹Ì¾Æ">'[1]9612서울'!#REF!</definedName>
    <definedName name="_98Àü´_°è½ÅÃµÈ">'[1]9612서울'!#REF!</definedName>
    <definedName name="±Ý´çÀÏ´ºÇÕ">'[1]9612서울'!#REF!</definedName>
    <definedName name="±Ý´çÀÏ±×·¹ÀÌ½º">'[1]9612서울'!#REF!</definedName>
    <definedName name="±Ý´çÀÏ°Ç¿µ">'[1]9612서울'!#REF!</definedName>
    <definedName name="±Ý´çÀÏ·Ô¿µ">'[1]9612서울'!#REF!</definedName>
    <definedName name="±Ý´çÀÏ·Ô¿ù">'[1]9612서울'!#REF!</definedName>
    <definedName name="±Ý´çÀÏ·ÔÀá">'[1]9612서울'!#REF!</definedName>
    <definedName name="±Ý´çÀÏ½Å¿µ">'[1]9612서울'!#REF!</definedName>
    <definedName name="±Ý´çÀÏ½Åµ¿">'[1]9612서울'!#REF!</definedName>
    <definedName name="±Ý´çÀÏ½Å¹Ì">'[1]9612서울'!#REF!</definedName>
    <definedName name="±Ý´çÀÏ½ÅÃµ">'[1]9612서울'!#REF!</definedName>
    <definedName name="±Ý´çÀÏ¹Ì¸í">'[1]9612서울'!#REF!</definedName>
    <definedName name="±Ý´çÀÏÁø·Î">'[1]9612서울'!#REF!</definedName>
    <definedName name="±Ý´çÀÏÇÑ½ÅÄÚ¾Æ">'[1]9612서울'!#REF!</definedName>
    <definedName name="±Ý´çÀÏÇÑ¾ç°¶">'[1]9612서울'!#REF!</definedName>
    <definedName name="±Ý´çÀÏÇÑ¾çÀá">'[1]9612서울'!#REF!</definedName>
    <definedName name="±Ý³â´çÀÏ¾Ö°æ">'[1]9612서울'!#REF!</definedName>
    <definedName name="·Ô¿µ94">'[1]9612서울'!#REF!</definedName>
    <definedName name="·Ô¿µ95">'[1]9612서울'!#REF!</definedName>
    <definedName name="½Å¿µ94">'[1]9612서울'!#REF!</definedName>
    <definedName name="½Å¿µ95">'[1]9612서울'!#REF!</definedName>
    <definedName name="½Åµ¿94">'[1]9612서울'!#REF!</definedName>
    <definedName name="½Åµ¿95">'[1]9612서울'!#REF!</definedName>
    <definedName name="½Å¹Ì94">'[1]9612서울'!#REF!</definedName>
    <definedName name="½Å¹Ì95">'[1]9612서울'!#REF!</definedName>
    <definedName name="½ÅÃµ94">'[1]9612서울'!#REF!</definedName>
    <definedName name="½ÅÃµ95">'[1]9612서울'!#REF!</definedName>
    <definedName name="a">#REF!</definedName>
    <definedName name="aa">#REF!</definedName>
    <definedName name="AAA">#REF!</definedName>
    <definedName name="AAAA">[2]실적이관!$A$2:$C$30</definedName>
    <definedName name="AAAAA">#REF!</definedName>
    <definedName name="ab">#REF!</definedName>
    <definedName name="abc">#REF!</definedName>
    <definedName name="AS">#REF!</definedName>
    <definedName name="ASD">#REF!</definedName>
    <definedName name="Àü´çÀÏ´ºÇÕ">'[1]9612서울'!#REF!</definedName>
    <definedName name="Àü´çÀÏ±×·¹ÀÌ½º">'[1]9612서울'!#REF!</definedName>
    <definedName name="Àü´çÀÏ°Ç¿µ">'[1]9612서울'!#REF!</definedName>
    <definedName name="Àü´çÀÏ·Ô¿µ">'[1]9612서울'!#REF!</definedName>
    <definedName name="Àü´çÀÏ·Ô¿ù">'[1]9612서울'!#REF!</definedName>
    <definedName name="Àü´çÀÏ·ÔÀá">'[1]9612서울'!#REF!</definedName>
    <definedName name="Àü´çÀÏ½Å¿µ">'[1]9612서울'!#REF!</definedName>
    <definedName name="Àü´çÀÏ½Åµ¿¹æ">'[1]9612서울'!#REF!</definedName>
    <definedName name="Àü´çÀÏ½Å¹Ì¾Æ">'[1]9612서울'!#REF!</definedName>
    <definedName name="Àü´çÀÏ¹Ì¸íµ¿">'[1]9612서울'!#REF!</definedName>
    <definedName name="Àü´çÀÏÁø·Î">'[1]9612서울'!#REF!</definedName>
    <definedName name="Àü´çÀÏÇÑ½ÅÄÚ¾Æ">'[1]9612서울'!#REF!</definedName>
    <definedName name="Àü´çÀÏÇÑ¾ç°¶">'[1]9612서울'!#REF!</definedName>
    <definedName name="Àü´çÀÏÇÑ¾çÀá">'[1]9612서울'!#REF!</definedName>
    <definedName name="Àü³â´çÀÏ¾Ö°æ">'[1]9612서울'!#REF!</definedName>
    <definedName name="AUGU">#REF!</definedName>
    <definedName name="az">#REF!</definedName>
    <definedName name="AZAZ">#REF!</definedName>
    <definedName name="b">#REF!</definedName>
    <definedName name="bb">#REF!</definedName>
    <definedName name="bbb">#REF!</definedName>
    <definedName name="cc">#REF!</definedName>
    <definedName name="ccc">#REF!</definedName>
    <definedName name="ccd">#REF!</definedName>
    <definedName name="D">#REF!</definedName>
    <definedName name="_xlnm.Database">[3]별첨!$C$4:$D$22</definedName>
    <definedName name="DB">#REF!</definedName>
    <definedName name="dc">#REF!</definedName>
    <definedName name="dd">#REF!</definedName>
    <definedName name="dda">#REF!</definedName>
    <definedName name="ddd">#REF!</definedName>
    <definedName name="DDF">#REF!</definedName>
    <definedName name="ddr">#REF!</definedName>
    <definedName name="dds">#REF!</definedName>
    <definedName name="ddt">#REF!</definedName>
    <definedName name="DK">#REF!</definedName>
    <definedName name="DL">#REF!</definedName>
    <definedName name="DM">#REF!</definedName>
    <definedName name="dndn">#REF!</definedName>
    <definedName name="e">#REF!</definedName>
    <definedName name="ED">#REF!</definedName>
    <definedName name="eee">#REF!</definedName>
    <definedName name="eeee">#REF!</definedName>
    <definedName name="ek">#REF!</definedName>
    <definedName name="EMART">#REF!</definedName>
    <definedName name="f">#REF!</definedName>
    <definedName name="FF">#REF!</definedName>
    <definedName name="fff">#REF!</definedName>
    <definedName name="fk">#REF!</definedName>
    <definedName name="fnfn">#REF!</definedName>
    <definedName name="fourth">#REF!</definedName>
    <definedName name="GG">#REF!</definedName>
    <definedName name="ggg">#REF!</definedName>
    <definedName name="gk">#REF!</definedName>
    <definedName name="GKGK">#REF!</definedName>
    <definedName name="GN">#REF!</definedName>
    <definedName name="GNGN">#REF!</definedName>
    <definedName name="gp">#REF!</definedName>
    <definedName name="h">'[4]01자료(실)'!$A$1:$E$353</definedName>
    <definedName name="HH">#REF!</definedName>
    <definedName name="HTML_CodePage" hidden="1">949</definedName>
    <definedName name="HTML_Control" hidden="1">{"'양식'!$A$1"}</definedName>
    <definedName name="HTML_Description" hidden="1">""</definedName>
    <definedName name="HTML_Email" hidden="1">""</definedName>
    <definedName name="HTML_Header" hidden="1">"양식"</definedName>
    <definedName name="HTML_LastUpdate" hidden="1">"00-07-03"</definedName>
    <definedName name="HTML_LineAfter" hidden="1">FALSE</definedName>
    <definedName name="HTML_LineBefore" hidden="1">FALSE</definedName>
    <definedName name="HTML_Name" hidden="1">"HYUNDAI"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"동구오~1"</definedName>
    <definedName name="huk">#REF!</definedName>
    <definedName name="j">'[4]0210GP'!$A$1:$E$345</definedName>
    <definedName name="JEPUM">#REF!</definedName>
    <definedName name="JEPUM2">#REF!</definedName>
    <definedName name="job">#REF!</definedName>
    <definedName name="july">#REF!</definedName>
    <definedName name="JUMPO">#REF!</definedName>
    <definedName name="june">#REF!</definedName>
    <definedName name="k">'[4]0211GP'!$A$1:$E$344</definedName>
    <definedName name="kkk">#REF!</definedName>
    <definedName name="L">#REF!</definedName>
    <definedName name="LALA">#REF!</definedName>
    <definedName name="LAST">[5]점포별실적!$B$5:$D$145</definedName>
    <definedName name="LIST">#REF!</definedName>
    <definedName name="LIST2">#REF!</definedName>
    <definedName name="LTD2B">'[1]9612서울'!#REF!</definedName>
    <definedName name="M">#REF!</definedName>
    <definedName name="miss">#REF!</definedName>
    <definedName name="misstwo">#REF!</definedName>
    <definedName name="NCD2B">'[1]9612서울'!#REF!</definedName>
    <definedName name="NO">#REF!</definedName>
    <definedName name="O">#REF!</definedName>
    <definedName name="ooo">#REF!</definedName>
    <definedName name="ppp">#REF!</definedName>
    <definedName name="_xlnm.Print_Area" localSheetId="0">출고가!$A$1:$H$127</definedName>
    <definedName name="PRINT_AREA_MI">#REF!</definedName>
    <definedName name="PRINT_TITLES_MI">#REF!</definedName>
    <definedName name="PUMMOK">#REF!</definedName>
    <definedName name="Q">#REF!</definedName>
    <definedName name="QQQ">#REF!</definedName>
    <definedName name="RB">#REF!</definedName>
    <definedName name="RJ">#REF!</definedName>
    <definedName name="rrr">#REF!</definedName>
    <definedName name="S">#REF!</definedName>
    <definedName name="sgwjhi">#REF!</definedName>
    <definedName name="sk">#REF!</definedName>
    <definedName name="SN">#REF!</definedName>
    <definedName name="ss">#REF!</definedName>
    <definedName name="sss">#REF!</definedName>
    <definedName name="TEST2">#REF!</definedName>
    <definedName name="TEST3">#REF!</definedName>
    <definedName name="tf">#REF!</definedName>
    <definedName name="third">[6]판촉비결과!#REF!</definedName>
    <definedName name="TLS">#REF!</definedName>
    <definedName name="today">#REF!</definedName>
    <definedName name="TP">#REF!</definedName>
    <definedName name="tt">#REF!</definedName>
    <definedName name="ttt">#REF!</definedName>
    <definedName name="tw">#REF!</definedName>
    <definedName name="x">'[7]5월세금서.'!$A$2:$E$48</definedName>
    <definedName name="Z">#REF!</definedName>
    <definedName name="za">#REF!</definedName>
    <definedName name="zaq">#REF!</definedName>
    <definedName name="zx">#REF!</definedName>
    <definedName name="ZZ">#REF!</definedName>
    <definedName name="zzz">#REF!</definedName>
    <definedName name="ㄱ">#REF!</definedName>
    <definedName name="ㄱㄱ">#REF!</definedName>
    <definedName name="ㄱㄱㄱ">#REF!</definedName>
    <definedName name="가">#REF!</definedName>
    <definedName name="가가">#REF!</definedName>
    <definedName name="가가가">#REF!</definedName>
    <definedName name="가가가가">#REF!</definedName>
    <definedName name="가격">#REF!</definedName>
    <definedName name="가나">#REF!</definedName>
    <definedName name="가라">#REF!</definedName>
    <definedName name="간">#REF!</definedName>
    <definedName name="거">#REF!</definedName>
    <definedName name="경남">[8]경남!$A$2:$C$58</definedName>
    <definedName name="경북">[8]경북!$A$2:$C$59</definedName>
    <definedName name="계">#REF!</definedName>
    <definedName name="골프">#REF!</definedName>
    <definedName name="구">#REF!</definedName>
    <definedName name="구구">#REF!</definedName>
    <definedName name="구구구">#REF!</definedName>
    <definedName name="규">#REF!</definedName>
    <definedName name="그랜드">#REF!</definedName>
    <definedName name="그랜드마트">#REF!</definedName>
    <definedName name="금년누계애경">'[1]9612서울'!#REF!</definedName>
    <definedName name="금년당일애경">'[1]9612서울'!#REF!</definedName>
    <definedName name="금누계갤러리아">'[1]9612서울'!#REF!</definedName>
    <definedName name="금누계건영">'[1]9612서울'!#REF!</definedName>
    <definedName name="금누계그랜드">'[1]9612서울'!#REF!</definedName>
    <definedName name="금누계그레이스">'[1]9612서울'!#REF!</definedName>
    <definedName name="금누계뉴합">'[1]9612서울'!#REF!</definedName>
    <definedName name="금누계롯본">'[1]9612서울'!#REF!</definedName>
    <definedName name="금누계롯영">'[1]9612서울'!#REF!</definedName>
    <definedName name="금누계롯월">'[1]9612서울'!#REF!</definedName>
    <definedName name="금누계롯잠">'[1]9612서울'!#REF!</definedName>
    <definedName name="금누계미명동">'[1]9612서울'!#REF!</definedName>
    <definedName name="금누계미상계">'[1]9612서울'!#REF!</definedName>
    <definedName name="금누계미청량">'[1]9612서울'!#REF!</definedName>
    <definedName name="금누계삼풍">'[1]9612서울'!#REF!</definedName>
    <definedName name="금누계신동방">'[1]9612서울'!#REF!</definedName>
    <definedName name="금누계신미아">'[1]9612서울'!#REF!</definedName>
    <definedName name="금누계신본">'[1]9612서울'!#REF!</definedName>
    <definedName name="금누계신영">'[1]9612서울'!#REF!</definedName>
    <definedName name="금누계신천호">'[1]9612서울'!#REF!</definedName>
    <definedName name="금누계진로">'[1]9612서울'!#REF!</definedName>
    <definedName name="금누계한갤러">'[1]9612서울'!#REF!</definedName>
    <definedName name="금누계한신코아">'[1]9612서울'!#REF!</definedName>
    <definedName name="금누계한잠실">'[1]9612서울'!#REF!</definedName>
    <definedName name="금누계현무">'[1]9612서울'!#REF!</definedName>
    <definedName name="금누계현본">'[1]9612서울'!#REF!</definedName>
    <definedName name="금당일건영">'[1]9612서울'!#REF!</definedName>
    <definedName name="금당일그랜드">'[1]9612서울'!#REF!</definedName>
    <definedName name="금당일그레이스">'[1]9612서울'!#REF!</definedName>
    <definedName name="금당일뉴합">'[1]9612서울'!#REF!</definedName>
    <definedName name="금당일롯본">'[1]9612서울'!#REF!</definedName>
    <definedName name="금당일롯영">'[1]9612서울'!#REF!</definedName>
    <definedName name="금당일롯월">'[1]9612서울'!#REF!</definedName>
    <definedName name="금당일롯잠">'[1]9612서울'!#REF!</definedName>
    <definedName name="금당일미명">'[1]9612서울'!#REF!</definedName>
    <definedName name="금당일미상">'[1]9612서울'!#REF!</definedName>
    <definedName name="금당일미청">'[1]9612서울'!#REF!</definedName>
    <definedName name="금당일삼풍">'[1]9612서울'!#REF!</definedName>
    <definedName name="금당일신동">'[1]9612서울'!#REF!</definedName>
    <definedName name="금당일신미">'[1]9612서울'!#REF!</definedName>
    <definedName name="금당일신본">'[1]9612서울'!#REF!</definedName>
    <definedName name="금당일신영">'[1]9612서울'!#REF!</definedName>
    <definedName name="금당일신천">'[1]9612서울'!#REF!</definedName>
    <definedName name="금당일진로">'[1]9612서울'!#REF!</definedName>
    <definedName name="금당일한신코아">'[1]9612서울'!#REF!</definedName>
    <definedName name="금당일한양갤">'[1]9612서울'!#REF!</definedName>
    <definedName name="금당일한양잠">'[1]9612서울'!#REF!</definedName>
    <definedName name="금당일현무">'[1]9612서울'!#REF!</definedName>
    <definedName name="금당일현본">'[1]9612서울'!#REF!</definedName>
    <definedName name="까르프">#REF!</definedName>
    <definedName name="ㄴ">#REF!</definedName>
    <definedName name="ㄴㄴ">#REF!</definedName>
    <definedName name="ㄴㄴㄴ">#REF!</definedName>
    <definedName name="ㄴㄴㄴㄴ">#REF!</definedName>
    <definedName name="나">#REF!</definedName>
    <definedName name="나나">#REF!</definedName>
    <definedName name="남캐주얼">#REF!</definedName>
    <definedName name="넘">#REF!</definedName>
    <definedName name="농">#REF!</definedName>
    <definedName name="농축">#REF!</definedName>
    <definedName name="농축협">#REF!</definedName>
    <definedName name="뉴본94">'[1]9612서울'!#REF!</definedName>
    <definedName name="ㄶ모죠ㅗ5ㅜ뵥ㅈㅅ모">#REF!</definedName>
    <definedName name="다">#REF!</definedName>
    <definedName name="다다">#REF!</definedName>
    <definedName name="단">#REF!</definedName>
    <definedName name="담">#REF!</definedName>
    <definedName name="담보">#REF!</definedName>
    <definedName name="당">#REF!</definedName>
    <definedName name="당월매입매장상품">[9]과세!#REF!</definedName>
    <definedName name="당월매입점출차익">[9]과세!#REF!</definedName>
    <definedName name="대">#REF!</definedName>
    <definedName name="대백">#REF!</definedName>
    <definedName name="대상">#REF!</definedName>
    <definedName name="대입매장상품">[9]과세!#REF!</definedName>
    <definedName name="대입점출차익">[9]과세!#REF!</definedName>
    <definedName name="대출매장상품">[9]과세!#REF!</definedName>
    <definedName name="대출점출차익">[9]과세!#REF!</definedName>
    <definedName name="대프">#REF!</definedName>
    <definedName name="도도도">#REF!</definedName>
    <definedName name="도매가">#REF!</definedName>
    <definedName name="독서">[10]!독서</definedName>
    <definedName name="돈">#REF!</definedName>
    <definedName name="디">[11]dc!$A$3:$G$30</definedName>
    <definedName name="라">#REF!</definedName>
    <definedName name="라라">#REF!</definedName>
    <definedName name="롯영94">'[1]9612서울'!#REF!</definedName>
    <definedName name="롯영95">'[1]9612서울'!#REF!</definedName>
    <definedName name="루루">#REF!</definedName>
    <definedName name="ㅁ">#REF!</definedName>
    <definedName name="ㅁㅁ">#REF!</definedName>
    <definedName name="ㅁㅁㅁ">#REF!</definedName>
    <definedName name="마">#REF!</definedName>
    <definedName name="마마">#REF!</definedName>
    <definedName name="매">#REF!</definedName>
    <definedName name="매가">[12]상품장!$C$1:$H$65536</definedName>
    <definedName name="매가인상">[9]과세!#REF!</definedName>
    <definedName name="매가인하">[9]과세!#REF!</definedName>
    <definedName name="매입매장상품">[9]과세!#REF!</definedName>
    <definedName name="매입점출차익">[9]과세!#REF!</definedName>
    <definedName name="매장상품">[9]과세!#REF!</definedName>
    <definedName name="매장상품매입">[9]과세!#REF!</definedName>
    <definedName name="매출">#REF!</definedName>
    <definedName name="목">#REF!</definedName>
    <definedName name="목표">#REF!</definedName>
    <definedName name="몰라" hidden="1">{"'양식'!$A$1"}</definedName>
    <definedName name="몰라몰라" hidden="1">{"'양식'!$A$1"}</definedName>
    <definedName name="미">#REF!</definedName>
    <definedName name="미수">[13]장부미수!$A$2:$G$63</definedName>
    <definedName name="ㅂ">'[14]8월미수'!$A$1:$D$164</definedName>
    <definedName name="ㅂㅎㄷㅎ">#REF!</definedName>
    <definedName name="바">#REF!</definedName>
    <definedName name="바바">#REF!</definedName>
    <definedName name="바바바">#REF!</definedName>
    <definedName name="반품매장상품">[9]과세!#REF!</definedName>
    <definedName name="반품점출차익">[9]과세!#REF!</definedName>
    <definedName name="브랜드참여2">#REF!</definedName>
    <definedName name="사">#REF!</definedName>
    <definedName name="삼">#REF!</definedName>
    <definedName name="세">#REF!</definedName>
    <definedName name="센">#REF!</definedName>
    <definedName name="셔츠">#REF!</definedName>
    <definedName name="손익10월">'[15]손익(10월)'!$A$5:$Q$67</definedName>
    <definedName name="수">#REF!</definedName>
    <definedName name="수산물">#REF!</definedName>
    <definedName name="수예">#REF!</definedName>
    <definedName name="스무순매">[16]물량투입계획!#REF!</definedName>
    <definedName name="스무이익">[16]물량투입계획!#REF!</definedName>
    <definedName name="스본순매">[16]물량투입계획!#REF!</definedName>
    <definedName name="스본이익">[16]물량투입계획!#REF!</definedName>
    <definedName name="스포츠">#REF!</definedName>
    <definedName name="시시">#REF!</definedName>
    <definedName name="시월">#REF!</definedName>
    <definedName name="신">#REF!</definedName>
    <definedName name="신동94">'[1]9612서울'!#REF!</definedName>
    <definedName name="신동95">'[1]9612서울'!#REF!</definedName>
    <definedName name="신미94">'[1]9612서울'!#REF!</definedName>
    <definedName name="신미95">'[1]9612서울'!#REF!</definedName>
    <definedName name="신본94">'[1]9612서울'!#REF!</definedName>
    <definedName name="신본95">'[1]9612서울'!#REF!</definedName>
    <definedName name="신영94">'[1]9612서울'!#REF!</definedName>
    <definedName name="신영95">'[1]9612서울'!#REF!</definedName>
    <definedName name="신지랄" hidden="1">{"'양식'!$A$1"}</definedName>
    <definedName name="신천94">'[1]9612서울'!#REF!</definedName>
    <definedName name="신천95">'[1]9612서울'!#REF!</definedName>
    <definedName name="실">#REF!</definedName>
    <definedName name="실작">#REF!</definedName>
    <definedName name="쌈">#REF!</definedName>
    <definedName name="쓰">#REF!</definedName>
    <definedName name="ㅇㄴㄹㅈㅅ">#REF!</definedName>
    <definedName name="ㅇㄹㄴㅊ">#REF!</definedName>
    <definedName name="아동">#REF!</definedName>
    <definedName name="아리랑">#REF!</definedName>
    <definedName name="아무순매">[16]물량투입계획!#REF!</definedName>
    <definedName name="아무이익">[16]물량투입계획!#REF!</definedName>
    <definedName name="아본순매">[16]물량투입계획!#REF!</definedName>
    <definedName name="아본이익">[16]물량투입계획!#REF!</definedName>
    <definedName name="아아">'[17]2차배정'!#REF!</definedName>
    <definedName name="아ㅣㅗ래ㅑ자ㅣㅍ훟매ㅑ좋재호">#REF!</definedName>
    <definedName name="어">#REF!</definedName>
    <definedName name="엘">#REF!</definedName>
    <definedName name="엘에강스" hidden="1">{"'양식'!$A$1"}</definedName>
    <definedName name="엘이">#REF!</definedName>
    <definedName name="영역">#REF!</definedName>
    <definedName name="오">#REF!</definedName>
    <definedName name="우">#REF!</definedName>
    <definedName name="우리">#REF!</definedName>
    <definedName name="우리는">#REF!</definedName>
    <definedName name="우쓰">#REF!</definedName>
    <definedName name="우우">#REF!</definedName>
    <definedName name="우웅">#REF!</definedName>
    <definedName name="운">#REF!</definedName>
    <definedName name="월">'[1]9612서울'!#REF!</definedName>
    <definedName name="위">#REF!</definedName>
    <definedName name="위탁">#REF!</definedName>
    <definedName name="유">#REF!</definedName>
    <definedName name="으라">#REF!</definedName>
    <definedName name="으으">#REF!</definedName>
    <definedName name="은">#REF!</definedName>
    <definedName name="은평">#REF!</definedName>
    <definedName name="이">#REF!</definedName>
    <definedName name="이디">#REF!</definedName>
    <definedName name="이름">#REF!</definedName>
    <definedName name="이미">#REF!</definedName>
    <definedName name="이월">#REF!</definedName>
    <definedName name="이월매장상품">[9]과세!#REF!</definedName>
    <definedName name="이월상품">[9]과세!#REF!</definedName>
    <definedName name="이월재고매장상품">[9]과세!#REF!</definedName>
    <definedName name="이월점출차익">[9]과세!#REF!</definedName>
    <definedName name="이이">#REF!</definedName>
    <definedName name="이이이이">'[18]00매출'!$A$3:$G$60</definedName>
    <definedName name="인">#REF!</definedName>
    <definedName name="일반식품">#REF!</definedName>
    <definedName name="작년">#REF!</definedName>
    <definedName name="재고손실액">[9]과세!#REF!</definedName>
    <definedName name="재고점출차익">[9]과세!#REF!</definedName>
    <definedName name="전년누계애경">'[1]9612서울'!#REF!</definedName>
    <definedName name="전년당일애경">'[1]9612서울'!#REF!</definedName>
    <definedName name="전누계건영">'[1]9612서울'!#REF!</definedName>
    <definedName name="전누계그랜드">'[1]9612서울'!#REF!</definedName>
    <definedName name="전누계그레이스">'[1]9612서울'!#REF!</definedName>
    <definedName name="전누계뉴합">'[1]9612서울'!#REF!</definedName>
    <definedName name="전누계롯본">'[1]9612서울'!#REF!</definedName>
    <definedName name="전누계롯영">'[1]9612서울'!#REF!</definedName>
    <definedName name="전누계롯월">'[1]9612서울'!#REF!</definedName>
    <definedName name="전누계롯잠">'[1]9612서울'!#REF!</definedName>
    <definedName name="전누계미명동">'[1]9612서울'!#REF!</definedName>
    <definedName name="전누계미상계">'[1]9612서울'!#REF!</definedName>
    <definedName name="전누계미청량리">'[1]9612서울'!#REF!</definedName>
    <definedName name="전누계삼풍">'[1]9612서울'!#REF!</definedName>
    <definedName name="전누계신동방">'[1]9612서울'!#REF!</definedName>
    <definedName name="전누계신미아">'[1]9612서울'!#REF!</definedName>
    <definedName name="전누계신본">'[1]9612서울'!#REF!</definedName>
    <definedName name="전누계신영">'[1]9612서울'!#REF!</definedName>
    <definedName name="전누계신천호">'[1]9612서울'!#REF!</definedName>
    <definedName name="전누계진로">'[1]9612서울'!#REF!</definedName>
    <definedName name="전누계한갤러">'[1]9612서울'!#REF!</definedName>
    <definedName name="전누계한신코아">'[1]9612서울'!#REF!</definedName>
    <definedName name="전누계한잠실">'[1]9612서울'!#REF!</definedName>
    <definedName name="전누계현무">'[1]9612서울'!#REF!</definedName>
    <definedName name="전누계현본">'[1]9612서울'!#REF!</definedName>
    <definedName name="전당일건영">'[1]9612서울'!#REF!</definedName>
    <definedName name="전당일그랜드">'[1]9612서울'!#REF!</definedName>
    <definedName name="전당일그레이스">'[1]9612서울'!#REF!</definedName>
    <definedName name="전당일뉴합">'[1]9612서울'!#REF!</definedName>
    <definedName name="전당일롯본">'[1]9612서울'!#REF!</definedName>
    <definedName name="전당일롯영">'[1]9612서울'!#REF!</definedName>
    <definedName name="전당일롯월">'[1]9612서울'!#REF!</definedName>
    <definedName name="전당일롯잠">'[1]9612서울'!#REF!</definedName>
    <definedName name="전당일미명동">'[1]9612서울'!#REF!</definedName>
    <definedName name="전당일미상계">'[1]9612서울'!#REF!</definedName>
    <definedName name="전당일미청량">'[1]9612서울'!#REF!</definedName>
    <definedName name="전당일삼풍">'[1]9612서울'!#REF!</definedName>
    <definedName name="전당일신동방">'[1]9612서울'!#REF!</definedName>
    <definedName name="전당일신미아">'[1]9612서울'!#REF!</definedName>
    <definedName name="전당일신본">'[1]9612서울'!#REF!</definedName>
    <definedName name="전당일신영">'[1]9612서울'!#REF!</definedName>
    <definedName name="전당일신천호">'[1]9612서울'!#REF!</definedName>
    <definedName name="전당일진로">'[1]9612서울'!#REF!</definedName>
    <definedName name="전당일한신코아">'[1]9612서울'!#REF!</definedName>
    <definedName name="전당일한양갤">'[1]9612서울'!#REF!</definedName>
    <definedName name="전당일한양잠">'[1]9612서울'!#REF!</definedName>
    <definedName name="전당일현무">'[1]9612서울'!#REF!</definedName>
    <definedName name="전당일현본">'[1]9612서울'!#REF!</definedName>
    <definedName name="점" hidden="1">{"'양식'!$A$1"}</definedName>
    <definedName name="점별" hidden="1">{"'양식'!$A$1"}</definedName>
    <definedName name="점별물" hidden="1">{"'양식'!$A$1"}</definedName>
    <definedName name="점별물량" hidden="1">{"'양식'!$A$1"}</definedName>
    <definedName name="정">#REF!</definedName>
    <definedName name="정장">#REF!</definedName>
    <definedName name="정장3" hidden="1">{"'양식'!$A$1"}</definedName>
    <definedName name="제약">#REF!</definedName>
    <definedName name="조조">#REF!</definedName>
    <definedName name="주요이슈">'[19]5.30(土)'!$A$4:$G$4</definedName>
    <definedName name="중">#REF!</definedName>
    <definedName name="중부">[8]중부!$A$2:$C$109</definedName>
    <definedName name="지">#REF!</definedName>
    <definedName name="지점토탈">#REF!</definedName>
    <definedName name="차별" hidden="1">{"'양식'!$A$1"}</definedName>
    <definedName name="차별신장" hidden="1">{"'양식'!$A$1"}</definedName>
    <definedName name="차별화" hidden="1">{"'양식'!$A$1"}</definedName>
    <definedName name="초">#REF!</definedName>
    <definedName name="축산물">#REF!</definedName>
    <definedName name="ㅋ">[14]회계대체!$A$1:$C$53</definedName>
    <definedName name="ㅋㅋㅋ">#REF!</definedName>
    <definedName name="코드">#REF!</definedName>
    <definedName name="코코">#REF!</definedName>
    <definedName name="ㅌㅌㅌ">#REF!</definedName>
    <definedName name="판">#REF!</definedName>
    <definedName name="품종">#REF!</definedName>
    <definedName name="ㅎㅎㅎㅎㅎㅎㅎㅎㅎㅎㅎㅎ">#REF!</definedName>
    <definedName name="하">#REF!</definedName>
    <definedName name="하하">#REF!</definedName>
    <definedName name="한">#REF!</definedName>
    <definedName name="허">#REF!</definedName>
    <definedName name="현금지출합계">#REF!</definedName>
    <definedName name="호">#REF!</definedName>
    <definedName name="화장품2" hidden="1">{"'양식'!$A$1"}</definedName>
    <definedName name="회계">#REF!</definedName>
    <definedName name="흐">#REF!</definedName>
    <definedName name="히">#REF!</definedName>
    <definedName name="ㅓㅗㅍ">#REF!</definedName>
    <definedName name="ㅕ새7ㅅ">#REF!</definedName>
    <definedName name="ㅜㅗㅗ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92" i="4" l="1"/>
  <c r="AJ93" i="4"/>
  <c r="AJ94" i="4"/>
  <c r="AJ95" i="4"/>
  <c r="AJ96" i="4"/>
  <c r="AJ97" i="4"/>
  <c r="AJ98" i="4"/>
  <c r="AJ99" i="4"/>
  <c r="B99" i="1" s="1"/>
  <c r="AJ100" i="4"/>
  <c r="AJ101" i="4"/>
  <c r="AJ102" i="4"/>
  <c r="AJ103" i="4"/>
  <c r="B103" i="1" s="1"/>
  <c r="AJ104" i="4"/>
  <c r="AJ105" i="4"/>
  <c r="AJ106" i="4"/>
  <c r="AJ107" i="4"/>
  <c r="AJ108" i="4"/>
  <c r="AJ109" i="4"/>
  <c r="AJ110" i="4"/>
  <c r="AJ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J91" i="4" s="1"/>
  <c r="B91" i="1" s="1"/>
  <c r="AI90" i="4"/>
  <c r="AJ89" i="4"/>
  <c r="B89" i="1" s="1"/>
  <c r="AI89" i="4"/>
  <c r="AI88" i="4"/>
  <c r="AJ88" i="4" s="1"/>
  <c r="B88" i="1" s="1"/>
  <c r="AJ87" i="4"/>
  <c r="AI87" i="4"/>
  <c r="AJ86" i="4"/>
  <c r="AI86" i="4"/>
  <c r="AI85" i="4"/>
  <c r="AJ85" i="4" s="1"/>
  <c r="B85" i="1" s="1"/>
  <c r="AI84" i="4"/>
  <c r="AJ83" i="4"/>
  <c r="B83" i="1" s="1"/>
  <c r="AI83" i="4"/>
  <c r="AI82" i="4"/>
  <c r="AJ82" i="4" s="1"/>
  <c r="B82" i="1" s="1"/>
  <c r="AJ81" i="4"/>
  <c r="AI81" i="4"/>
  <c r="AJ80" i="4"/>
  <c r="B80" i="1" s="1"/>
  <c r="AI80" i="4"/>
  <c r="AI79" i="4"/>
  <c r="AJ79" i="4" s="1"/>
  <c r="B79" i="1" s="1"/>
  <c r="AI78" i="4"/>
  <c r="AJ77" i="4"/>
  <c r="B77" i="1" s="1"/>
  <c r="AI77" i="4"/>
  <c r="AI76" i="4"/>
  <c r="AJ76" i="4" s="1"/>
  <c r="B76" i="1" s="1"/>
  <c r="AJ75" i="4"/>
  <c r="AI75" i="4"/>
  <c r="AJ74" i="4"/>
  <c r="AI74" i="4"/>
  <c r="AI73" i="4"/>
  <c r="AJ73" i="4" s="1"/>
  <c r="B73" i="1" s="1"/>
  <c r="AI72" i="4"/>
  <c r="AJ71" i="4"/>
  <c r="B71" i="1" s="1"/>
  <c r="AI71" i="4"/>
  <c r="AI70" i="4"/>
  <c r="AJ70" i="4" s="1"/>
  <c r="B70" i="1" s="1"/>
  <c r="AJ69" i="4"/>
  <c r="AI69" i="4"/>
  <c r="AJ68" i="4"/>
  <c r="B68" i="1" s="1"/>
  <c r="AI68" i="4"/>
  <c r="AI67" i="4"/>
  <c r="AJ67" i="4" s="1"/>
  <c r="B67" i="1" s="1"/>
  <c r="AI66" i="4"/>
  <c r="AJ65" i="4"/>
  <c r="B65" i="1" s="1"/>
  <c r="AI65" i="4"/>
  <c r="AI64" i="4"/>
  <c r="AJ64" i="4" s="1"/>
  <c r="B64" i="1" s="1"/>
  <c r="AJ63" i="4"/>
  <c r="AI63" i="4"/>
  <c r="AJ62" i="4"/>
  <c r="AI62" i="4"/>
  <c r="AI61" i="4"/>
  <c r="AJ61" i="4" s="1"/>
  <c r="B61" i="1" s="1"/>
  <c r="AI60" i="4"/>
  <c r="AJ59" i="4"/>
  <c r="B59" i="1" s="1"/>
  <c r="AI59" i="4"/>
  <c r="AI58" i="4"/>
  <c r="AJ58" i="4" s="1"/>
  <c r="B58" i="1" s="1"/>
  <c r="AJ57" i="4"/>
  <c r="AI57" i="4"/>
  <c r="AJ56" i="4"/>
  <c r="B56" i="1" s="1"/>
  <c r="AI56" i="4"/>
  <c r="AI55" i="4"/>
  <c r="AJ55" i="4" s="1"/>
  <c r="B55" i="1" s="1"/>
  <c r="AI54" i="4"/>
  <c r="AJ53" i="4"/>
  <c r="B53" i="1" s="1"/>
  <c r="AI53" i="4"/>
  <c r="AI52" i="4"/>
  <c r="AJ52" i="4" s="1"/>
  <c r="B52" i="1" s="1"/>
  <c r="AJ51" i="4"/>
  <c r="AI51" i="4"/>
  <c r="AJ50" i="4"/>
  <c r="AI50" i="4"/>
  <c r="AI49" i="4"/>
  <c r="AJ49" i="4" s="1"/>
  <c r="B49" i="1" s="1"/>
  <c r="AI48" i="4"/>
  <c r="AJ47" i="4"/>
  <c r="B47" i="1" s="1"/>
  <c r="AI47" i="4"/>
  <c r="AI46" i="4"/>
  <c r="AJ46" i="4" s="1"/>
  <c r="B46" i="1" s="1"/>
  <c r="AI45" i="4"/>
  <c r="AJ45" i="4" s="1"/>
  <c r="B45" i="1" s="1"/>
  <c r="AJ44" i="4"/>
  <c r="B44" i="1" s="1"/>
  <c r="AI44" i="4"/>
  <c r="AI43" i="4"/>
  <c r="AJ43" i="4" s="1"/>
  <c r="B43" i="1" s="1"/>
  <c r="AI42" i="4"/>
  <c r="AJ41" i="4"/>
  <c r="B41" i="1" s="1"/>
  <c r="AI41" i="4"/>
  <c r="AI40" i="4"/>
  <c r="AJ40" i="4" s="1"/>
  <c r="B40" i="1" s="1"/>
  <c r="AJ39" i="4"/>
  <c r="AI38" i="4"/>
  <c r="AJ38" i="4" s="1"/>
  <c r="B38" i="1" s="1"/>
  <c r="AI37" i="4"/>
  <c r="AJ37" i="4" s="1"/>
  <c r="B37" i="1" s="1"/>
  <c r="AI36" i="4"/>
  <c r="AJ36" i="4" s="1"/>
  <c r="B36" i="1" s="1"/>
  <c r="AI35" i="4"/>
  <c r="AJ34" i="4"/>
  <c r="AI34" i="4"/>
  <c r="AJ33" i="4"/>
  <c r="AI33" i="4"/>
  <c r="AI32" i="4"/>
  <c r="AJ32" i="4" s="1"/>
  <c r="B32" i="1" s="1"/>
  <c r="AI31" i="4"/>
  <c r="AJ31" i="4" s="1"/>
  <c r="B31" i="1" s="1"/>
  <c r="AI30" i="4"/>
  <c r="AI29" i="4"/>
  <c r="AJ28" i="4"/>
  <c r="AI28" i="4"/>
  <c r="AJ27" i="4"/>
  <c r="AI27" i="4"/>
  <c r="AI26" i="4"/>
  <c r="AJ26" i="4" s="1"/>
  <c r="B26" i="1" s="1"/>
  <c r="AI25" i="4"/>
  <c r="AJ25" i="4" s="1"/>
  <c r="B25" i="1" s="1"/>
  <c r="AI24" i="4"/>
  <c r="AJ24" i="4" s="1"/>
  <c r="B24" i="1" s="1"/>
  <c r="AI23" i="4"/>
  <c r="AJ22" i="4"/>
  <c r="AI22" i="4"/>
  <c r="AJ21" i="4"/>
  <c r="AI21" i="4"/>
  <c r="AI20" i="4"/>
  <c r="AJ20" i="4" s="1"/>
  <c r="B20" i="1" s="1"/>
  <c r="AI19" i="4"/>
  <c r="AJ19" i="4" s="1"/>
  <c r="B19" i="1" s="1"/>
  <c r="AI18" i="4"/>
  <c r="AI17" i="4"/>
  <c r="AJ16" i="4"/>
  <c r="AI16" i="4"/>
  <c r="AJ15" i="4"/>
  <c r="AI15" i="4"/>
  <c r="AI14" i="4"/>
  <c r="AJ14" i="4" s="1"/>
  <c r="B14" i="1" s="1"/>
  <c r="AI13" i="4"/>
  <c r="AJ13" i="4" s="1"/>
  <c r="B13" i="1" s="1"/>
  <c r="AI12" i="4"/>
  <c r="AJ12" i="4" s="1"/>
  <c r="B12" i="1" s="1"/>
  <c r="AI11" i="4"/>
  <c r="AI10" i="4"/>
  <c r="AJ10" i="4" s="1"/>
  <c r="B10" i="1" s="1"/>
  <c r="AJ9" i="4"/>
  <c r="AI9" i="4"/>
  <c r="AI8" i="4"/>
  <c r="AJ8" i="4" s="1"/>
  <c r="B8" i="1" s="1"/>
  <c r="AI7" i="4"/>
  <c r="AJ7" i="4" s="1"/>
  <c r="B7" i="1" s="1"/>
  <c r="AI6" i="4"/>
  <c r="AI5" i="4"/>
  <c r="AI4" i="4"/>
  <c r="AJ4" i="4" s="1"/>
  <c r="B4" i="1" s="1"/>
  <c r="C9" i="3"/>
  <c r="D9" i="3" s="1"/>
  <c r="F9" i="3" s="1"/>
  <c r="D8" i="3"/>
  <c r="F8" i="3" s="1"/>
  <c r="C8" i="3"/>
  <c r="C7" i="3"/>
  <c r="D7" i="3" s="1"/>
  <c r="F7" i="3" s="1"/>
  <c r="D6" i="3"/>
  <c r="F6" i="3" s="1"/>
  <c r="C6" i="3"/>
  <c r="H5" i="3"/>
  <c r="G5" i="3"/>
  <c r="F5" i="3"/>
  <c r="C5" i="3"/>
  <c r="C4" i="3"/>
  <c r="D4" i="3" s="1"/>
  <c r="F4" i="3" s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A103" i="1"/>
  <c r="B102" i="1"/>
  <c r="A102" i="1"/>
  <c r="B101" i="1"/>
  <c r="A101" i="1"/>
  <c r="B100" i="1"/>
  <c r="A100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A91" i="1"/>
  <c r="A90" i="1"/>
  <c r="A89" i="1"/>
  <c r="A88" i="1"/>
  <c r="B87" i="1"/>
  <c r="A87" i="1"/>
  <c r="B86" i="1"/>
  <c r="A86" i="1"/>
  <c r="A85" i="1"/>
  <c r="A84" i="1"/>
  <c r="A83" i="1"/>
  <c r="A82" i="1"/>
  <c r="B81" i="1"/>
  <c r="A81" i="1"/>
  <c r="A80" i="1"/>
  <c r="A79" i="1"/>
  <c r="A78" i="1"/>
  <c r="A77" i="1"/>
  <c r="A76" i="1"/>
  <c r="B75" i="1"/>
  <c r="A75" i="1"/>
  <c r="B74" i="1"/>
  <c r="A74" i="1"/>
  <c r="A73" i="1"/>
  <c r="A72" i="1"/>
  <c r="A71" i="1"/>
  <c r="A70" i="1"/>
  <c r="B69" i="1"/>
  <c r="A69" i="1"/>
  <c r="A68" i="1"/>
  <c r="A67" i="1"/>
  <c r="A66" i="1"/>
  <c r="A65" i="1"/>
  <c r="A64" i="1"/>
  <c r="B63" i="1"/>
  <c r="A63" i="1"/>
  <c r="B62" i="1"/>
  <c r="A62" i="1"/>
  <c r="A61" i="1"/>
  <c r="A60" i="1"/>
  <c r="A59" i="1"/>
  <c r="A58" i="1"/>
  <c r="B57" i="1"/>
  <c r="A57" i="1"/>
  <c r="A56" i="1"/>
  <c r="A55" i="1"/>
  <c r="A54" i="1"/>
  <c r="A53" i="1"/>
  <c r="A52" i="1"/>
  <c r="B51" i="1"/>
  <c r="A51" i="1"/>
  <c r="B50" i="1"/>
  <c r="A50" i="1"/>
  <c r="A49" i="1"/>
  <c r="A48" i="1"/>
  <c r="A47" i="1"/>
  <c r="A46" i="1"/>
  <c r="A45" i="1"/>
  <c r="A44" i="1"/>
  <c r="A43" i="1"/>
  <c r="A42" i="1"/>
  <c r="A41" i="1"/>
  <c r="A40" i="1"/>
  <c r="B39" i="1"/>
  <c r="A39" i="1"/>
  <c r="A38" i="1"/>
  <c r="A37" i="1"/>
  <c r="A36" i="1"/>
  <c r="A35" i="1"/>
  <c r="B34" i="1"/>
  <c r="A34" i="1"/>
  <c r="B33" i="1"/>
  <c r="A33" i="1"/>
  <c r="A32" i="1"/>
  <c r="A31" i="1"/>
  <c r="A30" i="1"/>
  <c r="A29" i="1"/>
  <c r="B28" i="1"/>
  <c r="A28" i="1"/>
  <c r="B27" i="1"/>
  <c r="A27" i="1"/>
  <c r="A26" i="1"/>
  <c r="A25" i="1"/>
  <c r="A24" i="1"/>
  <c r="A23" i="1"/>
  <c r="B22" i="1"/>
  <c r="A22" i="1"/>
  <c r="B21" i="1"/>
  <c r="A21" i="1"/>
  <c r="A20" i="1"/>
  <c r="A19" i="1"/>
  <c r="A18" i="1"/>
  <c r="A17" i="1"/>
  <c r="B16" i="1"/>
  <c r="A16" i="1"/>
  <c r="B15" i="1"/>
  <c r="A15" i="1"/>
  <c r="A14" i="1"/>
  <c r="A13" i="1"/>
  <c r="A12" i="1"/>
  <c r="A11" i="1"/>
  <c r="A10" i="1"/>
  <c r="B9" i="1"/>
  <c r="A9" i="1"/>
  <c r="A8" i="1"/>
  <c r="A7" i="1"/>
  <c r="A6" i="1"/>
  <c r="A5" i="1"/>
  <c r="A4" i="1"/>
  <c r="H9" i="3" l="1"/>
  <c r="G9" i="3"/>
  <c r="F11" i="3"/>
  <c r="G4" i="3"/>
  <c r="G8" i="3"/>
  <c r="H8" i="3" s="1"/>
  <c r="G7" i="3"/>
  <c r="H7" i="3" s="1"/>
  <c r="H6" i="3"/>
  <c r="G6" i="3"/>
  <c r="AJ5" i="4"/>
  <c r="B5" i="1" s="1"/>
  <c r="AJ17" i="4"/>
  <c r="B17" i="1" s="1"/>
  <c r="AJ29" i="4"/>
  <c r="B29" i="1" s="1"/>
  <c r="AJ35" i="4"/>
  <c r="B35" i="1" s="1"/>
  <c r="AJ42" i="4"/>
  <c r="B42" i="1" s="1"/>
  <c r="AJ48" i="4"/>
  <c r="B48" i="1" s="1"/>
  <c r="AJ54" i="4"/>
  <c r="B54" i="1" s="1"/>
  <c r="AJ60" i="4"/>
  <c r="B60" i="1" s="1"/>
  <c r="AJ66" i="4"/>
  <c r="B66" i="1" s="1"/>
  <c r="AJ72" i="4"/>
  <c r="B72" i="1" s="1"/>
  <c r="AJ78" i="4"/>
  <c r="B78" i="1" s="1"/>
  <c r="AJ84" i="4"/>
  <c r="B84" i="1" s="1"/>
  <c r="AJ90" i="4"/>
  <c r="B90" i="1" s="1"/>
  <c r="AJ6" i="4"/>
  <c r="B6" i="1" s="1"/>
  <c r="AJ18" i="4"/>
  <c r="B18" i="1" s="1"/>
  <c r="AJ30" i="4"/>
  <c r="B30" i="1" s="1"/>
  <c r="AJ11" i="4"/>
  <c r="B11" i="1" s="1"/>
  <c r="AJ23" i="4"/>
  <c r="B23" i="1" s="1"/>
  <c r="G11" i="3" l="1"/>
  <c r="H4" i="3"/>
  <c r="H11" i="3" s="1"/>
</calcChain>
</file>

<file path=xl/sharedStrings.xml><?xml version="1.0" encoding="utf-8"?>
<sst xmlns="http://schemas.openxmlformats.org/spreadsheetml/2006/main" count="540" uniqueCount="231">
  <si>
    <t>실시간 와인 현재고 요약 (7월)</t>
  </si>
  <si>
    <t>품목이름 (구분/발주처)</t>
  </si>
  <si>
    <t>전월 재고</t>
  </si>
  <si>
    <t>금월 입고</t>
  </si>
  <si>
    <t>월 소모 합계</t>
  </si>
  <si>
    <t>현 재고</t>
  </si>
  <si>
    <t>WORLD WINE PRICE LIST</t>
  </si>
  <si>
    <t>※기준일자</t>
  </si>
  <si>
    <t>NO</t>
  </si>
  <si>
    <t>제품명</t>
  </si>
  <si>
    <t>출고가
(부가세별도)</t>
  </si>
  <si>
    <t>소비자가</t>
  </si>
  <si>
    <t>종류</t>
  </si>
  <si>
    <t>원산지</t>
  </si>
  <si>
    <t>현재고</t>
  </si>
  <si>
    <t>1879 S 까베르네쇼비뇽 미니 / 187ml</t>
  </si>
  <si>
    <t>레드</t>
  </si>
  <si>
    <t>칠레</t>
  </si>
  <si>
    <t>1879 SC 샤도네이 미니 / 187ml</t>
  </si>
  <si>
    <t>화이트</t>
  </si>
  <si>
    <t>1879 G 모스카토 미니 / 187ml</t>
  </si>
  <si>
    <t>이태리</t>
  </si>
  <si>
    <t>1879 D 람부르스코 미니 / 187ml</t>
  </si>
  <si>
    <t>E 까스틸로 델 코미다 스위트 레드</t>
  </si>
  <si>
    <t>스페인</t>
  </si>
  <si>
    <t>E 까스틸로 델 코미다 스위트 화이트</t>
  </si>
  <si>
    <t>1879 S 까베르네쇼비뇽</t>
  </si>
  <si>
    <t>1879 SC 샤도네이</t>
  </si>
  <si>
    <t>1879 G 모스카토</t>
  </si>
  <si>
    <t>D 돌체 볼로</t>
  </si>
  <si>
    <t>1879 FR 프레지던트</t>
  </si>
  <si>
    <t>프랑스</t>
  </si>
  <si>
    <t>1879 B 테레 불랑세</t>
  </si>
  <si>
    <t>1879 O 까베르네쇼비뇽 그랑 리제르바</t>
  </si>
  <si>
    <t>1879 AP 피노누아</t>
  </si>
  <si>
    <t>1879 AS 쉬라즈</t>
  </si>
  <si>
    <t>A 까베르네쇼비뇽 프리미엄 리저브</t>
  </si>
  <si>
    <t>1879 랑게로쏘 루캇</t>
  </si>
  <si>
    <t>1879 바롤로</t>
  </si>
  <si>
    <t>1879 T 듀갈</t>
  </si>
  <si>
    <t>1879 C 샤또네프뒤파프</t>
  </si>
  <si>
    <t>1879 C 샤또네프뒤파프 1,500ml</t>
  </si>
  <si>
    <t>1879 Z 마셋 제로</t>
  </si>
  <si>
    <t>스파클링</t>
  </si>
  <si>
    <t>1879 Z 마셋 제로 로제</t>
  </si>
  <si>
    <t>로제스파클링</t>
  </si>
  <si>
    <t>1879 CV 몽 미셀 까바</t>
  </si>
  <si>
    <t>빈 7479 까베르네쇼비뇽</t>
  </si>
  <si>
    <t>와피 버라이어탈 까베르네쇼비뇽</t>
  </si>
  <si>
    <t>와피 버라이어탈 쉬라</t>
  </si>
  <si>
    <t>와피 버라이어탈 멜롯</t>
  </si>
  <si>
    <t>와피 버라이어탈 샤도네이</t>
  </si>
  <si>
    <t>와피 레세르바 까베르네쇼비뇽</t>
  </si>
  <si>
    <t>와피 레세르바 멜롯&amp;말백</t>
  </si>
  <si>
    <t>와피 레세르바 쇼비뇽블랑</t>
  </si>
  <si>
    <t>파눌 레제르바 에스페셜 까베르네쇼비뇽</t>
  </si>
  <si>
    <t>파눌 레제르바 에스페셜 시라</t>
  </si>
  <si>
    <t>파눌 레제르바 에스페셜 샤도네이</t>
  </si>
  <si>
    <t>파눌 그랑 레제르바 쉬라</t>
  </si>
  <si>
    <t>와피 그랑 레제르바 까베르네쇼비뇽</t>
  </si>
  <si>
    <t>와피 그랑 레제르바 피노누아</t>
  </si>
  <si>
    <t>C.E.O 까베르네쇼비뇽 리제르바 에스페셜</t>
  </si>
  <si>
    <t>피칠레무 아줄 프로폰도 리미티드 에디션</t>
  </si>
  <si>
    <t>파눌 레제르바 에스칼라타 리미티드 에디션</t>
  </si>
  <si>
    <t>마르치구 L 까베르네쇼비뇽 리브레</t>
  </si>
  <si>
    <t>마르치구 L 쉬라 리브레</t>
  </si>
  <si>
    <t>마르치구 M 까베르네쇼비뇽 프라이빗 콜렉션</t>
  </si>
  <si>
    <t>마르치구 M 쉬라 프라이빗 콜렉션</t>
  </si>
  <si>
    <t>L 10 말벡, 비안치</t>
  </si>
  <si>
    <t>아르헨티나</t>
  </si>
  <si>
    <t>L 10 토론테스</t>
  </si>
  <si>
    <t>L 10 프리미엄 말벡, 비안치</t>
  </si>
  <si>
    <t>로스 프리모스 까베르네쇼비뇽, 비안치</t>
  </si>
  <si>
    <t>로스 프리모스 쉬라, 비안치</t>
  </si>
  <si>
    <t xml:space="preserve">레드 </t>
  </si>
  <si>
    <t>그랑디알 브륏 스파클링</t>
  </si>
  <si>
    <t>샤토 오 사릭 보르도</t>
  </si>
  <si>
    <t>레 끌레 드 언클라브 꼬뜨 뒤 론</t>
  </si>
  <si>
    <t>듀오 데 메 레드</t>
  </si>
  <si>
    <t>듀오 데 메르 화이트</t>
  </si>
  <si>
    <t>듀오 데 플라쥐 로제</t>
  </si>
  <si>
    <t>로제</t>
  </si>
  <si>
    <t>샤토 물린 드 보르디유 메독</t>
  </si>
  <si>
    <t>레 무제트 피노누아</t>
  </si>
  <si>
    <t>레 무제트 샤도네이</t>
  </si>
  <si>
    <t>레모 까베르네쇼비뇽</t>
  </si>
  <si>
    <t>레모 메를로</t>
  </si>
  <si>
    <t>모나스티에 까베르네쇼비뇽</t>
  </si>
  <si>
    <t>모나스티에 쉬라즈</t>
  </si>
  <si>
    <t>꼬뜨 뒤 론 도멘 드 라 프레지던트 그랑클라쎄</t>
  </si>
  <si>
    <t>갤랑 르 테라쎄 드 볼리유</t>
  </si>
  <si>
    <t>갤랑 꼬뜨 뒤 론(라 뚜르 갤랑)</t>
  </si>
  <si>
    <t>샤토네프 뒤 파프 도멘 드 라 프레지던트</t>
  </si>
  <si>
    <t>에게르떼 부르고뉴 피노누아 리저브 페르소네</t>
  </si>
  <si>
    <t>에게르떼 부르고뉴 샤도네이 리저브 페르소네</t>
  </si>
  <si>
    <t>에게르떼 샤블리 르 오팔</t>
  </si>
  <si>
    <t>에게르떼 제브리-샹베르탕 리저브 페르소네</t>
  </si>
  <si>
    <t>버나드 레미 샹파뉴 까르떼 블랑쉬</t>
  </si>
  <si>
    <t>샴페인</t>
  </si>
  <si>
    <t>버나드 레미 샹파뉴 브뤼 로제</t>
  </si>
  <si>
    <t>로제샴페인</t>
  </si>
  <si>
    <t>꽁피당스 드 프리외레 리신</t>
  </si>
  <si>
    <t>바이 끌리네 뽀므롤</t>
  </si>
  <si>
    <t>브리오 데 깡뜨냑 브라운</t>
  </si>
  <si>
    <t>라 레지스탕스 꼬뜨뒤론</t>
  </si>
  <si>
    <t>까살도모 돌체 스푸만테</t>
  </si>
  <si>
    <t>토레브루나 끼안티 DOCG</t>
  </si>
  <si>
    <t>M.A, 몬테풀치아노 다르부조</t>
  </si>
  <si>
    <t>린다 돈나 모스카토 로제</t>
  </si>
  <si>
    <t>디칸다 쎄시 바르베라 에밀리아</t>
  </si>
  <si>
    <t>몬테레 발폴리첼라 리파소 DOP 슈페리오레</t>
  </si>
  <si>
    <t xml:space="preserve">비스타 알레그레 모스카텔 </t>
  </si>
  <si>
    <t>포르투갈</t>
  </si>
  <si>
    <t>비스타 알레그레 로제포트</t>
  </si>
  <si>
    <t>비스타 알레그레 리제르바 루비 디켄터 포트</t>
  </si>
  <si>
    <t>닥터 스트리트 리프라우밀히 라인헤센</t>
  </si>
  <si>
    <t>독일</t>
  </si>
  <si>
    <t>사모스 쿠르타키 스위트 화이트</t>
  </si>
  <si>
    <t>그리스</t>
  </si>
  <si>
    <t>불레틴 플레이스 쉬라즈</t>
  </si>
  <si>
    <t>호주</t>
  </si>
  <si>
    <t>쓰리 브릿지스 바로사 쉬라즈</t>
  </si>
  <si>
    <t>말보로 바인즈 쇼비뇽블랑</t>
  </si>
  <si>
    <t>뉴질랜드</t>
  </si>
  <si>
    <t>커피 팟 피노타지</t>
  </si>
  <si>
    <t>남아공</t>
  </si>
  <si>
    <t>벤 로베렌 피노타지</t>
  </si>
  <si>
    <t>레아 까베르네 쇼비뇽</t>
  </si>
  <si>
    <t>미국,캘리포니아</t>
  </si>
  <si>
    <t>레아 진판델</t>
  </si>
  <si>
    <t>레아 피노 누아</t>
  </si>
  <si>
    <t>레아 샤르도네</t>
  </si>
  <si>
    <t>까사 델캄포 레드</t>
  </si>
  <si>
    <t>까사 델캄포 화이트</t>
  </si>
  <si>
    <t>라 코마르카 레드</t>
  </si>
  <si>
    <t>펠라시오 데 아리에타 블랙 라벨 세미 스위트</t>
  </si>
  <si>
    <t>펠라시오 데 아리에타 캡 세미 스위트</t>
  </si>
  <si>
    <t>라스 라네라스 세미 스위트 화이트</t>
  </si>
  <si>
    <t>토로 네그로 세미 스위트</t>
  </si>
  <si>
    <t>그랑비아 스위트</t>
  </si>
  <si>
    <t>솔라르 데 리꼬뜨 스위트</t>
  </si>
  <si>
    <t>드루시오 프리잔떼 로제</t>
  </si>
  <si>
    <t>핀카 엘 푼탈 템프라니요</t>
  </si>
  <si>
    <t>핀카 엘 푼탈 쇼비뇽블랑</t>
  </si>
  <si>
    <t>마셋 리오하 템프라니요</t>
  </si>
  <si>
    <t>마셋 리오하 셀렉시온 끄리안자</t>
  </si>
  <si>
    <t>엘 미라클 NO.3 화이트</t>
  </si>
  <si>
    <t>엘 미라클 No.1 레드</t>
  </si>
  <si>
    <t>언리얼 쇼비뇽블랑</t>
  </si>
  <si>
    <t>언리얼 그르나슈 로제</t>
  </si>
  <si>
    <t>언리얼 시라즈</t>
  </si>
  <si>
    <t>세르비올라 화이트 1리터</t>
  </si>
  <si>
    <t>세르비올라 레드 1리터</t>
  </si>
  <si>
    <t>비나 솔라나 화이트 5리터</t>
  </si>
  <si>
    <t>비나 솔라나 레드 5리터</t>
  </si>
  <si>
    <t>미니와인 골프백</t>
  </si>
  <si>
    <t>부자재</t>
  </si>
  <si>
    <t>루시퍼스 그린 올리브</t>
  </si>
  <si>
    <t>올리브</t>
  </si>
  <si>
    <t>2본입 올리브 지함</t>
  </si>
  <si>
    <t>7월 스쿨 출고 내역</t>
  </si>
  <si>
    <t>날짜</t>
  </si>
  <si>
    <t>품 목</t>
  </si>
  <si>
    <t>MG입고가</t>
  </si>
  <si>
    <t>스쿨 납품가</t>
  </si>
  <si>
    <t>수량</t>
  </si>
  <si>
    <t>공급가액</t>
  </si>
  <si>
    <t>부가세</t>
  </si>
  <si>
    <t>합계</t>
  </si>
  <si>
    <t>거래처</t>
  </si>
  <si>
    <t>핸드케이스</t>
  </si>
  <si>
    <t>VINI COFFEE 안락동점 7월 와인 수불 대장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</si>
  <si>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</si>
  <si>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</si>
  <si>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</si>
  <si>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</si>
  <si>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</si>
  <si>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</si>
  <si>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</si>
  <si>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</si>
  <si>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</si>
  <si>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</si>
  <si>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</si>
  <si>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</si>
  <si>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</si>
  <si>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</si>
  <si>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</si>
  <si>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</si>
  <si>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</si>
  <si>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</si>
  <si>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</si>
  <si>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</si>
  <si>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</si>
  <si>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</si>
  <si>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</si>
  <si>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</si>
  <si>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</si>
  <si>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</si>
  <si>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</si>
  <si>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</si>
  <si>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</si>
  <si>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</si>
  <si>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</si>
  <si>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1879 W 까사미엔또 화이트</t>
  </si>
  <si>
    <t>1879 W 까사미엔또 레드</t>
  </si>
  <si>
    <t>까스틸로 델 꼬미다 세미 레드</t>
  </si>
  <si>
    <t>에게르떼 부르고뉴 피노누아</t>
  </si>
  <si>
    <t>리프라우밀히 라인헤센</t>
  </si>
  <si>
    <t>까사도마 스푸만테 돌체</t>
  </si>
  <si>
    <t>몽 미셀 브뤼트 까바</t>
  </si>
  <si>
    <t>신세계) 킴 크로포드 말보로 쇼비뇽 블랑</t>
  </si>
  <si>
    <t>신세계) 뵈브클리코 옐로우레이블(M.H)</t>
  </si>
  <si>
    <t>신세계) 뵈브클리코 로제 (M.H)</t>
  </si>
  <si>
    <t>신세계) 페리에주에 그랑브뤼(PRK)</t>
  </si>
  <si>
    <t>신세계) 루이페드리에 로제</t>
  </si>
  <si>
    <t>신세계) 뵈브드베르디에브뤼(하이트)</t>
  </si>
  <si>
    <t>신세계) 루이 페르리에(하)</t>
  </si>
  <si>
    <t>삼진) 모엣 샹동 브뤼 임페리얼</t>
  </si>
  <si>
    <t>삼진) 모엣 샹동 브뤼 임페리얼 로제</t>
  </si>
  <si>
    <t>삼진) 루뒤몽크레망드 부르고뉴</t>
  </si>
  <si>
    <t>삼진) 오페라 프리마골드 모스카토</t>
  </si>
  <si>
    <t>삼진) 로렌조 모스카토</t>
  </si>
  <si>
    <t>삼진) 오페라프리마브뤼</t>
  </si>
  <si>
    <t>삼진) 풀라티노 블루 모스카토</t>
  </si>
  <si>
    <t>삼진) 프로스 페로브륏</t>
  </si>
  <si>
    <t>동래상사) 파이퍼 하이직 뀌베 브륏</t>
  </si>
  <si>
    <t>동래상사) 아영-오이스터베이 스파클링 뀌베브뤼</t>
  </si>
  <si>
    <t>동래상사) 금양-브라운브라더스프리미엄뀌베</t>
  </si>
  <si>
    <t>페리에 그랑브뤼</t>
  </si>
  <si>
    <t xml:space="preserve">6월 30일 </t>
    <phoneticPr fontId="5" type="noConversion"/>
  </si>
  <si>
    <t>동명대 AMP 특강 증정 (이월)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</si>
</sst>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0.000_);[Red]\(0.000\)"/>
    <numFmt numFmtId="178" formatCode="0_);[Red]\(0\)"/>
  </numFmts>
  <fonts count="21">
    <font>
      <sz val="11"/>
      <color theme="1"/>
      <name val="맑은 고딕"/>
      <family val="2"/>
      <scheme val="minor"/>
    </font>
    <font>
      <b/>
      <sz val="16"/>
      <color rgb="FF1F497D"/>
      <name val="맑은 고딕"/>
    </font>
    <font>
      <b/>
      <sz val="10"/>
      <color rgb="FFFFFFFF"/>
      <name val="맑은 고딕"/>
    </font>
    <font>
      <sz val="10"/>
      <name val="맑은 고딕"/>
    </font>
    <font>
      <b/>
      <sz val="10"/>
      <color rgb="FF1F497D"/>
      <name val="맑은 고딕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u/>
      <sz val="28"/>
      <color theme="1"/>
      <name val="HY헤드라인M"/>
      <family val="1"/>
      <charset val="129"/>
    </font>
    <font>
      <b/>
      <sz val="28"/>
      <color theme="1"/>
      <name val="HY헤드라인M"/>
      <family val="1"/>
      <charset val="129"/>
    </font>
    <font>
      <b/>
      <sz val="12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0"/>
      <name val="돋움"/>
      <family val="3"/>
      <charset val="129"/>
    </font>
    <font>
      <sz val="10.5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2"/>
      <scheme val="major"/>
    </font>
    <font>
      <b/>
      <sz val="16"/>
      <color rgb="FF2C3E50"/>
      <name val="맑은 고딕"/>
    </font>
    <font>
      <b/>
      <sz val="11"/>
      <color rgb="FFFFFFFF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8"/>
        <bgColor rgb="FFF2F5F8"/>
      </patternFill>
    </fill>
    <fill>
      <patternFill patternType="solid">
        <fgColor theme="9" tint="0.59999389629810485"/>
        <bgColor rgb="FFF2F5F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4495E"/>
        <bgColor rgb="FF34495E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4">
    <xf numFmtId="0" fontId="0" fillId="0" borderId="0"/>
    <xf numFmtId="0" fontId="7" fillId="0" borderId="0">
      <alignment vertical="center"/>
    </xf>
    <xf numFmtId="176" fontId="7" fillId="0" borderId="0">
      <alignment vertical="center"/>
    </xf>
    <xf numFmtId="176" fontId="11" fillId="0" borderId="0">
      <alignment vertical="center"/>
    </xf>
  </cellStyleXfs>
  <cellXfs count="9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0" xfId="0" applyFont="1" applyFill="1"/>
    <xf numFmtId="0" fontId="3" fillId="7" borderId="1" xfId="0" applyFont="1" applyFill="1" applyBorder="1" applyAlignment="1">
      <alignment horizontal="right" vertical="center"/>
    </xf>
    <xf numFmtId="0" fontId="9" fillId="0" borderId="0" xfId="1" applyFont="1" applyAlignment="1">
      <alignment vertical="center"/>
    </xf>
    <xf numFmtId="0" fontId="7" fillId="0" borderId="0" xfId="1" applyAlignment="1">
      <alignment vertical="center"/>
    </xf>
    <xf numFmtId="0" fontId="10" fillId="0" borderId="0" xfId="1" applyFont="1" applyAlignment="1">
      <alignment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left" vertical="center"/>
    </xf>
    <xf numFmtId="0" fontId="10" fillId="0" borderId="5" xfId="1" applyFont="1" applyBorder="1" applyAlignment="1">
      <alignment horizontal="center" vertical="center"/>
    </xf>
    <xf numFmtId="0" fontId="10" fillId="7" borderId="5" xfId="1" applyFont="1" applyFill="1" applyBorder="1" applyAlignment="1">
      <alignment horizontal="left" vertical="center"/>
    </xf>
    <xf numFmtId="0" fontId="10" fillId="7" borderId="5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 wrapText="1"/>
    </xf>
    <xf numFmtId="3" fontId="10" fillId="0" borderId="5" xfId="3" applyNumberFormat="1" applyFont="1" applyBorder="1" applyAlignment="1">
      <alignment horizontal="center" vertical="center"/>
    </xf>
    <xf numFmtId="0" fontId="12" fillId="0" borderId="5" xfId="1" applyFont="1" applyBorder="1" applyAlignment="1">
      <alignment horizontal="left" vertical="center" shrinkToFit="1"/>
    </xf>
    <xf numFmtId="0" fontId="13" fillId="0" borderId="5" xfId="1" applyFont="1" applyBorder="1" applyAlignment="1">
      <alignment horizontal="left" vertical="center"/>
    </xf>
    <xf numFmtId="0" fontId="14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left" vertical="center"/>
    </xf>
    <xf numFmtId="0" fontId="10" fillId="0" borderId="7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left" vertical="center"/>
    </xf>
    <xf numFmtId="0" fontId="10" fillId="0" borderId="9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left" vertical="center" indent="1"/>
    </xf>
    <xf numFmtId="0" fontId="14" fillId="0" borderId="0" xfId="1" applyFont="1" applyAlignment="1">
      <alignment horizontal="center"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horizontal="left" vertical="center"/>
    </xf>
    <xf numFmtId="0" fontId="17" fillId="9" borderId="5" xfId="1" applyFont="1" applyFill="1" applyBorder="1" applyAlignment="1">
      <alignment horizontal="center" vertical="center" wrapText="1"/>
    </xf>
    <xf numFmtId="38" fontId="17" fillId="7" borderId="5" xfId="1" applyNumberFormat="1" applyFont="1" applyFill="1" applyBorder="1" applyAlignment="1">
      <alignment horizontal="left" vertical="center" wrapText="1"/>
    </xf>
    <xf numFmtId="0" fontId="17" fillId="0" borderId="0" xfId="1" applyFont="1" applyAlignment="1">
      <alignment horizontal="center" vertical="center"/>
    </xf>
    <xf numFmtId="0" fontId="17" fillId="7" borderId="5" xfId="1" applyFont="1" applyFill="1" applyBorder="1" applyAlignment="1">
      <alignment horizontal="center" vertical="center" wrapText="1"/>
    </xf>
    <xf numFmtId="0" fontId="17" fillId="7" borderId="5" xfId="1" applyFont="1" applyFill="1" applyBorder="1" applyAlignment="1">
      <alignment horizontal="left" vertical="center" wrapText="1"/>
    </xf>
    <xf numFmtId="0" fontId="0" fillId="0" borderId="0" xfId="0"/>
    <xf numFmtId="0" fontId="18" fillId="0" borderId="5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10" borderId="0" xfId="0" applyFont="1" applyFill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176" fontId="15" fillId="7" borderId="0" xfId="2" applyFont="1" applyFill="1" applyAlignment="1">
      <alignment horizontal="center" vertical="center"/>
    </xf>
    <xf numFmtId="176" fontId="0" fillId="0" borderId="0" xfId="2" applyFont="1" applyAlignment="1">
      <alignment horizontal="center" vertical="center"/>
    </xf>
    <xf numFmtId="176" fontId="10" fillId="9" borderId="5" xfId="2" applyFont="1" applyFill="1" applyBorder="1" applyAlignment="1">
      <alignment horizontal="center" vertical="center"/>
    </xf>
    <xf numFmtId="176" fontId="10" fillId="9" borderId="7" xfId="2" applyFont="1" applyFill="1" applyBorder="1" applyAlignment="1">
      <alignment horizontal="center" vertical="center"/>
    </xf>
    <xf numFmtId="176" fontId="10" fillId="9" borderId="9" xfId="2" applyFont="1" applyFill="1" applyBorder="1" applyAlignment="1">
      <alignment horizontal="center" vertical="center"/>
    </xf>
    <xf numFmtId="177" fontId="17" fillId="0" borderId="0" xfId="1" applyNumberFormat="1" applyFont="1" applyAlignment="1">
      <alignment horizontal="left" vertical="center"/>
    </xf>
    <xf numFmtId="178" fontId="17" fillId="0" borderId="0" xfId="1" applyNumberFormat="1" applyFont="1" applyAlignment="1">
      <alignment horizontal="left" vertical="center"/>
    </xf>
    <xf numFmtId="177" fontId="17" fillId="9" borderId="5" xfId="1" applyNumberFormat="1" applyFont="1" applyFill="1" applyBorder="1" applyAlignment="1">
      <alignment horizontal="center" vertical="center" wrapText="1"/>
    </xf>
    <xf numFmtId="178" fontId="17" fillId="9" borderId="5" xfId="1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7" fillId="0" borderId="0" xfId="1" applyAlignment="1">
      <alignment horizontal="left" vertical="center" indent="1"/>
    </xf>
    <xf numFmtId="176" fontId="15" fillId="7" borderId="0" xfId="2" applyFont="1" applyFill="1" applyAlignment="1">
      <alignment horizontal="center" vertical="center"/>
    </xf>
    <xf numFmtId="176" fontId="0" fillId="0" borderId="0" xfId="2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76" fontId="10" fillId="8" borderId="3" xfId="2" applyFont="1" applyFill="1" applyBorder="1" applyAlignment="1">
      <alignment horizontal="center" vertical="center" wrapText="1"/>
    </xf>
    <xf numFmtId="0" fontId="0" fillId="0" borderId="16" xfId="0" applyBorder="1"/>
    <xf numFmtId="0" fontId="10" fillId="8" borderId="2" xfId="1" applyFont="1" applyFill="1" applyBorder="1" applyAlignment="1">
      <alignment horizontal="center" vertical="center"/>
    </xf>
    <xf numFmtId="0" fontId="0" fillId="0" borderId="14" xfId="0" applyBorder="1"/>
    <xf numFmtId="0" fontId="10" fillId="8" borderId="3" xfId="1" applyFont="1" applyFill="1" applyBorder="1" applyAlignment="1">
      <alignment horizontal="center" vertical="center"/>
    </xf>
    <xf numFmtId="176" fontId="10" fillId="8" borderId="3" xfId="2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17" fillId="7" borderId="5" xfId="1" applyFont="1" applyFill="1" applyBorder="1" applyAlignment="1">
      <alignment horizontal="center" vertical="center" wrapText="1"/>
    </xf>
    <xf numFmtId="0" fontId="0" fillId="0" borderId="15" xfId="0" applyBorder="1"/>
    <xf numFmtId="37" fontId="17" fillId="8" borderId="5" xfId="1" applyNumberFormat="1" applyFont="1" applyFill="1" applyBorder="1" applyAlignment="1">
      <alignment horizontal="left" vertical="center" wrapText="1"/>
    </xf>
    <xf numFmtId="177" fontId="17" fillId="7" borderId="5" xfId="1" applyNumberFormat="1" applyFont="1" applyFill="1" applyBorder="1" applyAlignment="1">
      <alignment horizontal="left" vertical="center" wrapText="1"/>
    </xf>
    <xf numFmtId="178" fontId="17" fillId="7" borderId="5" xfId="1" applyNumberFormat="1" applyFont="1" applyFill="1" applyBorder="1" applyAlignment="1">
      <alignment horizontal="left" vertical="center" wrapText="1"/>
    </xf>
    <xf numFmtId="38" fontId="17" fillId="8" borderId="17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1" applyFont="1" applyAlignment="1">
      <alignment horizontal="left" vertical="center"/>
    </xf>
    <xf numFmtId="177" fontId="17" fillId="0" borderId="0" xfId="1" applyNumberFormat="1" applyFont="1" applyAlignment="1">
      <alignment horizontal="left" vertical="center"/>
    </xf>
    <xf numFmtId="178" fontId="17" fillId="0" borderId="0" xfId="1" applyNumberFormat="1" applyFont="1" applyAlignment="1">
      <alignment horizontal="left" vertical="center"/>
    </xf>
    <xf numFmtId="0" fontId="0" fillId="0" borderId="13" xfId="0" applyBorder="1"/>
    <xf numFmtId="0" fontId="17" fillId="7" borderId="5" xfId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0" fillId="10" borderId="0" xfId="0" applyFont="1" applyFill="1" applyAlignment="1">
      <alignment vertical="center"/>
    </xf>
    <xf numFmtId="3" fontId="3" fillId="0" borderId="18" xfId="0" applyNumberFormat="1" applyFont="1" applyBorder="1" applyAlignment="1">
      <alignment vertical="center"/>
    </xf>
    <xf numFmtId="0" fontId="0" fillId="0" borderId="0" xfId="0" applyAlignment="1"/>
  </cellXfs>
  <cellStyles count="4">
    <cellStyle name="쉼표 [0] 2" xfId="2" xr:uid="{00000000-0005-0000-0000-000002000000}"/>
    <cellStyle name="쉼표 [0] 2 2" xfId="3" xr:uid="{00000000-0005-0000-0000-000003000000}"/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345;&#44221;\&#50629;&#47924;&#50577;&#49885;\&#50629;&#47924;&#50577;&#49885;\BS\9612bs&#52509;&#51221;&#4753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60;&#45376;&#47532;/&#47560;&#44048;/0011/&#48120;&#49688;&#48372;&#44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windows\TEMP\&#47560;&#44536;&#45367;\&#54665;&#49324;\7&#50900;&#54665;&#49324;&#44208;&#4428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My%20Documents\'03&#45380;\'03&#50868;&#50689;\&#54408;&#4778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&#49888;&#54032;&#47588;\&#51216;&#54252;&#48324;&#49892;&#51201;&#53076;&#4630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My%20Documents\&#50976;&#53685;&#51204;&#47029;&#54016;\&#50696;&#49328;\&#54032;&#52489;&#48708;\11&#50900;&#54032;&#52489;&#44208;&#4428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9457;&#54984;\C\My%20Documents\&#51064;&#44228;\&#44256;&#50668;&#47532;\&#54665;&#49324;,&#47560;&#44048;\'02.05\5&#50900;&#49464;&#4455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57;&#53468;\D\&#47560;&#44048;(&#50976;&#53685;&#44221;&#47196;)\01&#45380;3&#50900;\01&#45380;2&#50900;\1&#50900;\12&#50900;\&#49884;&#5110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(&#44221;&#50689;&#44288;&#47532;&#54016;%20&#47928;&#49436;&#54632;-&#49437;&#51116;&#54788;)/Z.&#51204;&#49324;&#44277;&#53685;/K.&#50672;&#51109;,&#44540;&#53468;/01.&#51204;&#51088;&#47928;&#49436;/&#49437;&#51116;&#54788;/&#50629;&#47924;/03.03&#49552;&#51061;&#47749;&#49464;&#49436;%20&#49328;&#4988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AMWARE\TMP\TO7\98&#44368;&#50977;&#54984;&#47144;\98&#50504;&#45236;&#52293;&#51088;\&#44368;&#50977;&#54984;&#47144;&#50504;&#452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&#49888;&#54032;&#47588;\&#51648;&#5458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WINDOWS\Temporary%20Internet%20Files\Content.IE5\WX2Z0LE7\&#47560;&#44536;&#45367;&#51649;&#45225;&#44032;&#44201;(&#47448;&#49457;&#54840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60;&#45376;&#47532;/&#47560;&#44048;/0101/&#47560;&#44048;&#51221;&#4753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My%20Documents\&#51064;&#44228;\&#44256;&#50668;&#47532;\&#54665;&#49324;,&#47560;&#44048;\'02.08\&#48120;&#49688;&#47560;&#4404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&#47928;&#49436;&#48169;/&#44221;&#50689;&#50948;&#50896;&#54924;/99&#45380;34&#48516;&#44592;/99&#45380;10&#50900;&#49892;&#51201;&#48372;&#44256;(&#49552;&#51061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8148;&#44176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60;&#45376;&#47532;/&#54665;&#49324;/0105/&#50976;&#47532;&#48128;&#5422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60;&#45376;&#47532;/&#44032;&#44201;/2001&#45380;/&#44592;&#5492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KMAIL30/CACHE/5&#509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12서울"/>
      <sheetName val="표제 (8)"/>
      <sheetName val="BS분석"/>
      <sheetName val="표제"/>
      <sheetName val="표제 (2)"/>
      <sheetName val="표제 (3)"/>
      <sheetName val="표제 (4)"/>
      <sheetName val="표제 (5)"/>
      <sheetName val="표제 (6)"/>
      <sheetName val="표제 (7)"/>
      <sheetName val="Sheet3"/>
      <sheetName val="고객만족상품"/>
      <sheetName val="물량계획"/>
      <sheetName val="참여율대비"/>
      <sheetName val="부진사유"/>
      <sheetName val="9612울산"/>
      <sheetName val="9612부산"/>
      <sheetName val="9612부평"/>
      <sheetName val="9612bs총정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I"/>
      <sheetName val="실적이관"/>
      <sheetName val="보고용"/>
      <sheetName val="TC11월정리"/>
      <sheetName val="11월내역원인"/>
      <sheetName val="종합"/>
      <sheetName val="11월내역원인 (2)"/>
      <sheetName val="단가정정"/>
      <sheetName val="종합 (2)"/>
    </sheetNames>
    <sheetDataSet>
      <sheetData sheetId="0"/>
      <sheetData sheetId="1" refreshError="1">
        <row r="2">
          <cell r="A2">
            <v>1326455</v>
          </cell>
          <cell r="B2" t="str">
            <v xml:space="preserve">이마트창동점                  </v>
          </cell>
          <cell r="C2">
            <v>27817324</v>
          </cell>
        </row>
        <row r="3">
          <cell r="A3">
            <v>1326754</v>
          </cell>
          <cell r="B3" t="str">
            <v xml:space="preserve">E-MART 용인센타               </v>
          </cell>
          <cell r="C3">
            <v>-612500299</v>
          </cell>
        </row>
        <row r="4">
          <cell r="A4">
            <v>1338551</v>
          </cell>
          <cell r="B4" t="str">
            <v xml:space="preserve">이마트일산점                  </v>
          </cell>
          <cell r="C4">
            <v>27124629</v>
          </cell>
        </row>
        <row r="5">
          <cell r="A5">
            <v>1338972</v>
          </cell>
          <cell r="B5" t="str">
            <v xml:space="preserve">이마트안산점                  </v>
          </cell>
          <cell r="C5">
            <v>18154226</v>
          </cell>
        </row>
        <row r="6">
          <cell r="A6">
            <v>1339086</v>
          </cell>
          <cell r="B6" t="str">
            <v xml:space="preserve">이마트부평점                  </v>
          </cell>
          <cell r="C6">
            <v>30789267</v>
          </cell>
        </row>
        <row r="7">
          <cell r="A7">
            <v>1507780</v>
          </cell>
          <cell r="B7" t="str">
            <v xml:space="preserve">이마트분당점                  </v>
          </cell>
          <cell r="C7">
            <v>25568814</v>
          </cell>
        </row>
        <row r="8">
          <cell r="A8">
            <v>1508175</v>
          </cell>
          <cell r="B8" t="str">
            <v xml:space="preserve">이마트천호점                  </v>
          </cell>
          <cell r="C8">
            <v>22481263</v>
          </cell>
        </row>
        <row r="9">
          <cell r="A9">
            <v>1818000</v>
          </cell>
          <cell r="B9" t="str">
            <v xml:space="preserve">이마트상봉점                  </v>
          </cell>
          <cell r="C9">
            <v>29318051</v>
          </cell>
        </row>
        <row r="10">
          <cell r="A10">
            <v>1918892</v>
          </cell>
          <cell r="B10" t="str">
            <v xml:space="preserve">이마트구로점                  </v>
          </cell>
          <cell r="C10">
            <v>27591631</v>
          </cell>
        </row>
        <row r="11">
          <cell r="A11">
            <v>2921190</v>
          </cell>
          <cell r="B11" t="str">
            <v xml:space="preserve">이마트인천점                  </v>
          </cell>
          <cell r="C11">
            <v>40311175</v>
          </cell>
        </row>
        <row r="12">
          <cell r="A12">
            <v>2930120</v>
          </cell>
          <cell r="B12" t="str">
            <v xml:space="preserve">이마트부천역사                </v>
          </cell>
          <cell r="C12">
            <v>25574326</v>
          </cell>
        </row>
        <row r="13">
          <cell r="A13">
            <v>2930364</v>
          </cell>
          <cell r="B13" t="str">
            <v xml:space="preserve">이마트신월(E)                 </v>
          </cell>
          <cell r="C13">
            <v>7741207</v>
          </cell>
        </row>
        <row r="14">
          <cell r="A14">
            <v>2930541</v>
          </cell>
          <cell r="B14" t="str">
            <v xml:space="preserve">이마트가양점                  </v>
          </cell>
          <cell r="C14">
            <v>34370803</v>
          </cell>
        </row>
        <row r="15">
          <cell r="A15">
            <v>3007922</v>
          </cell>
          <cell r="B15" t="str">
            <v xml:space="preserve">이마트안양점                  </v>
          </cell>
          <cell r="C15">
            <v>33097877</v>
          </cell>
        </row>
        <row r="16">
          <cell r="A16">
            <v>3012880</v>
          </cell>
          <cell r="B16" t="str">
            <v xml:space="preserve">이마트산본점                  </v>
          </cell>
          <cell r="C16">
            <v>28681733</v>
          </cell>
        </row>
        <row r="17">
          <cell r="A17">
            <v>3013186</v>
          </cell>
          <cell r="B17" t="str">
            <v xml:space="preserve">이마트시화점                  </v>
          </cell>
          <cell r="C17">
            <v>12795512</v>
          </cell>
        </row>
        <row r="18">
          <cell r="A18">
            <v>3013241</v>
          </cell>
          <cell r="B18" t="str">
            <v xml:space="preserve">이마트이천점                  </v>
          </cell>
          <cell r="C18">
            <v>13543750</v>
          </cell>
        </row>
        <row r="19">
          <cell r="A19">
            <v>3405632</v>
          </cell>
          <cell r="B19" t="str">
            <v xml:space="preserve">이마트남원점                  </v>
          </cell>
          <cell r="C19">
            <v>4367821</v>
          </cell>
        </row>
        <row r="20">
          <cell r="A20">
            <v>3409046</v>
          </cell>
          <cell r="B20" t="str">
            <v xml:space="preserve">이마트전주점                  </v>
          </cell>
          <cell r="C20">
            <v>23867549</v>
          </cell>
        </row>
        <row r="21">
          <cell r="A21">
            <v>3514803</v>
          </cell>
          <cell r="B21" t="str">
            <v xml:space="preserve">이마트동광주점                </v>
          </cell>
          <cell r="C21">
            <v>13268612</v>
          </cell>
        </row>
        <row r="22">
          <cell r="A22">
            <v>3618200</v>
          </cell>
          <cell r="B22" t="str">
            <v xml:space="preserve">이마트마산(E)                 </v>
          </cell>
          <cell r="C22">
            <v>3585817</v>
          </cell>
        </row>
        <row r="23">
          <cell r="A23">
            <v>3807985</v>
          </cell>
          <cell r="B23" t="str">
            <v xml:space="preserve">이마트원주점                  </v>
          </cell>
          <cell r="C23">
            <v>24394192</v>
          </cell>
        </row>
        <row r="24">
          <cell r="A24">
            <v>4008985</v>
          </cell>
          <cell r="B24" t="str">
            <v xml:space="preserve">이마트김천점                  </v>
          </cell>
          <cell r="C24">
            <v>10635643</v>
          </cell>
        </row>
        <row r="25">
          <cell r="A25">
            <v>4015244</v>
          </cell>
          <cell r="B25" t="str">
            <v xml:space="preserve">이마트성서점                  </v>
          </cell>
          <cell r="C25">
            <v>23672895</v>
          </cell>
        </row>
        <row r="26">
          <cell r="A26">
            <v>4103286</v>
          </cell>
          <cell r="B26" t="str">
            <v xml:space="preserve">이마트제주점                  </v>
          </cell>
          <cell r="C26">
            <v>25739242</v>
          </cell>
        </row>
        <row r="27">
          <cell r="A27">
            <v>4407369</v>
          </cell>
          <cell r="B27" t="str">
            <v xml:space="preserve">이마트진주점                  </v>
          </cell>
          <cell r="C27">
            <v>7749585</v>
          </cell>
        </row>
        <row r="28">
          <cell r="A28">
            <v>4508031</v>
          </cell>
          <cell r="B28" t="str">
            <v xml:space="preserve">이마트서부산점                </v>
          </cell>
          <cell r="C28">
            <v>26661589</v>
          </cell>
        </row>
        <row r="29">
          <cell r="A29">
            <v>4513685</v>
          </cell>
          <cell r="B29" t="str">
            <v xml:space="preserve">이마트해운대점                </v>
          </cell>
          <cell r="C29">
            <v>23917605</v>
          </cell>
        </row>
        <row r="30">
          <cell r="A30">
            <v>4603650</v>
          </cell>
          <cell r="B30" t="str">
            <v xml:space="preserve">이마트천주점                  </v>
          </cell>
          <cell r="C30">
            <v>19678161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점정리"/>
      <sheetName val="고추장3Kg"/>
      <sheetName val="매운1kg"/>
      <sheetName val="멀티액션"/>
      <sheetName val="플랙스"/>
      <sheetName val="펀2브러쉬"/>
      <sheetName val="주니어스퀴즈"/>
      <sheetName val="햇살진간장1.7"/>
      <sheetName val="런천미트340g&amp;3"/>
      <sheetName val="섭산적800"/>
      <sheetName val="옥시화이트500"/>
      <sheetName val="별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D4" t="str">
            <v>7월</v>
          </cell>
        </row>
        <row r="5">
          <cell r="C5" t="str">
            <v>강변점</v>
          </cell>
          <cell r="D5">
            <v>364</v>
          </cell>
        </row>
        <row r="6">
          <cell r="C6" t="str">
            <v>월드점</v>
          </cell>
          <cell r="D6">
            <v>160</v>
          </cell>
        </row>
        <row r="7">
          <cell r="C7" t="str">
            <v>관악점</v>
          </cell>
          <cell r="D7">
            <v>212</v>
          </cell>
        </row>
        <row r="8">
          <cell r="C8" t="str">
            <v>서현점</v>
          </cell>
          <cell r="D8">
            <v>220</v>
          </cell>
        </row>
        <row r="9">
          <cell r="C9" t="str">
            <v>청주점</v>
          </cell>
          <cell r="D9">
            <v>303</v>
          </cell>
        </row>
        <row r="10">
          <cell r="C10" t="str">
            <v>구리점</v>
          </cell>
          <cell r="D10">
            <v>355</v>
          </cell>
        </row>
        <row r="11">
          <cell r="C11" t="str">
            <v>울산점</v>
          </cell>
          <cell r="D11">
            <v>349</v>
          </cell>
        </row>
        <row r="12">
          <cell r="C12" t="str">
            <v>주엽점</v>
          </cell>
          <cell r="D12">
            <v>176</v>
          </cell>
        </row>
        <row r="13">
          <cell r="C13" t="str">
            <v>부평점</v>
          </cell>
          <cell r="D13">
            <v>274</v>
          </cell>
        </row>
        <row r="14">
          <cell r="C14" t="str">
            <v>대전점</v>
          </cell>
          <cell r="D14">
            <v>118</v>
          </cell>
        </row>
        <row r="15">
          <cell r="C15" t="str">
            <v>연수점</v>
          </cell>
          <cell r="D15">
            <v>134</v>
          </cell>
        </row>
        <row r="16">
          <cell r="C16" t="str">
            <v>천안점</v>
          </cell>
          <cell r="D16">
            <v>223</v>
          </cell>
        </row>
        <row r="17">
          <cell r="C17" t="str">
            <v>상무점</v>
          </cell>
          <cell r="D17">
            <v>162</v>
          </cell>
        </row>
        <row r="18">
          <cell r="C18" t="str">
            <v>사하점</v>
          </cell>
          <cell r="D18">
            <v>84</v>
          </cell>
        </row>
        <row r="19">
          <cell r="C19" t="str">
            <v>대구점</v>
          </cell>
          <cell r="D19">
            <v>188</v>
          </cell>
        </row>
        <row r="20">
          <cell r="C20" t="str">
            <v>의정부점</v>
          </cell>
          <cell r="D20">
            <v>317</v>
          </cell>
        </row>
        <row r="21">
          <cell r="C21" t="str">
            <v>화명점</v>
          </cell>
          <cell r="D21">
            <v>117</v>
          </cell>
        </row>
        <row r="22">
          <cell r="C22" t="str">
            <v>화정점</v>
          </cell>
          <cell r="D22">
            <v>175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(이)"/>
      <sheetName val="01자료(실)"/>
      <sheetName val="0210GP"/>
      <sheetName val="0211GP"/>
      <sheetName val="0212GP"/>
    </sheetNames>
    <sheetDataSet>
      <sheetData sheetId="0" refreshError="1"/>
      <sheetData sheetId="1" refreshError="1">
        <row r="1">
          <cell r="A1" t="str">
            <v>코   드</v>
          </cell>
          <cell r="B1" t="str">
            <v>구   분</v>
          </cell>
          <cell r="C1" t="str">
            <v>2001년10월</v>
          </cell>
          <cell r="D1" t="str">
            <v>2001년11월</v>
          </cell>
          <cell r="E1" t="str">
            <v>기준월(1-기준일)</v>
          </cell>
        </row>
        <row r="2">
          <cell r="A2">
            <v>21160</v>
          </cell>
          <cell r="B2" t="str">
            <v xml:space="preserve">아미노산미원１．５ＫＧ        </v>
          </cell>
          <cell r="C2">
            <v>52.953300000000006</v>
          </cell>
          <cell r="D2">
            <v>86.23845</v>
          </cell>
          <cell r="E2">
            <v>65.866500000000002</v>
          </cell>
        </row>
        <row r="3">
          <cell r="A3">
            <v>1010202</v>
          </cell>
          <cell r="B3" t="str">
            <v xml:space="preserve">아 미 노 산 (업)              </v>
          </cell>
          <cell r="C3">
            <v>52.953300000000006</v>
          </cell>
          <cell r="D3">
            <v>86.23845</v>
          </cell>
          <cell r="E3">
            <v>65.866500000000002</v>
          </cell>
        </row>
        <row r="4">
          <cell r="A4">
            <v>1010200</v>
          </cell>
          <cell r="B4" t="str">
            <v xml:space="preserve">아미노산 미 원                </v>
          </cell>
          <cell r="C4">
            <v>52.953300000000006</v>
          </cell>
          <cell r="D4">
            <v>86.23845</v>
          </cell>
          <cell r="E4">
            <v>65.866500000000002</v>
          </cell>
        </row>
        <row r="5">
          <cell r="A5">
            <v>31133</v>
          </cell>
          <cell r="B5" t="str">
            <v xml:space="preserve">감칠맛나는미원１３０Ｇ        </v>
          </cell>
          <cell r="C5">
            <v>13.154399999999999</v>
          </cell>
          <cell r="D5">
            <v>17.049389999999999</v>
          </cell>
          <cell r="E5">
            <v>17.538330000000002</v>
          </cell>
        </row>
        <row r="6">
          <cell r="A6">
            <v>31134</v>
          </cell>
          <cell r="B6" t="str">
            <v xml:space="preserve">감칠맛나는미원２８０Ｇ        </v>
          </cell>
          <cell r="C6">
            <v>19.656479999999998</v>
          </cell>
          <cell r="D6">
            <v>29.938560000000003</v>
          </cell>
          <cell r="E6">
            <v>27.713999999999999</v>
          </cell>
        </row>
        <row r="7">
          <cell r="A7">
            <v>31136</v>
          </cell>
          <cell r="B7" t="str">
            <v xml:space="preserve">감칠맛나는미원５００Ｇ        </v>
          </cell>
          <cell r="C7">
            <v>14.477399999999999</v>
          </cell>
          <cell r="D7">
            <v>24.806249999999999</v>
          </cell>
          <cell r="E7">
            <v>25.820550000000001</v>
          </cell>
        </row>
        <row r="8">
          <cell r="A8">
            <v>31138</v>
          </cell>
          <cell r="B8" t="str">
            <v xml:space="preserve">감칠맛나는미원８５０Ｇ        </v>
          </cell>
          <cell r="C8">
            <v>9.4447500000000009</v>
          </cell>
          <cell r="D8">
            <v>21.304500000000001</v>
          </cell>
          <cell r="E8">
            <v>15.728999999999999</v>
          </cell>
        </row>
        <row r="9">
          <cell r="A9">
            <v>31139</v>
          </cell>
          <cell r="B9" t="str">
            <v xml:space="preserve">감칠맛나는미원１ＫＧ          </v>
          </cell>
          <cell r="C9">
            <v>0</v>
          </cell>
          <cell r="D9">
            <v>-5.7999999999999996E-3</v>
          </cell>
          <cell r="E9">
            <v>-0.57999999999999996</v>
          </cell>
        </row>
        <row r="10">
          <cell r="A10">
            <v>1010501</v>
          </cell>
          <cell r="B10" t="str">
            <v xml:space="preserve">감칠맛 미원 (가)              </v>
          </cell>
          <cell r="C10">
            <v>56.733029999999999</v>
          </cell>
          <cell r="D10">
            <v>93.0929</v>
          </cell>
          <cell r="E10">
            <v>86.221879999999999</v>
          </cell>
        </row>
        <row r="11">
          <cell r="A11">
            <v>1010500</v>
          </cell>
          <cell r="B11" t="str">
            <v xml:space="preserve">감칠맛나는미원                </v>
          </cell>
          <cell r="C11">
            <v>56.733029999999999</v>
          </cell>
          <cell r="D11">
            <v>93.0929</v>
          </cell>
          <cell r="E11">
            <v>86.221879999999999</v>
          </cell>
        </row>
        <row r="12">
          <cell r="A12">
            <v>1010000</v>
          </cell>
          <cell r="B12" t="str">
            <v xml:space="preserve">미    원    류                </v>
          </cell>
          <cell r="C12">
            <v>109.68633</v>
          </cell>
          <cell r="D12">
            <v>179.33135000000001</v>
          </cell>
          <cell r="E12">
            <v>152.08838</v>
          </cell>
        </row>
        <row r="13">
          <cell r="A13">
            <v>11467</v>
          </cell>
          <cell r="B13" t="str">
            <v xml:space="preserve">맛소금２５０Ｇ                </v>
          </cell>
          <cell r="C13">
            <v>7.8395600000000005</v>
          </cell>
          <cell r="D13">
            <v>8.5507000000000009</v>
          </cell>
          <cell r="E13">
            <v>9.9382000000000001</v>
          </cell>
        </row>
        <row r="14">
          <cell r="A14">
            <v>11469</v>
          </cell>
          <cell r="B14" t="str">
            <v xml:space="preserve">맛소금５００Ｇ                </v>
          </cell>
          <cell r="C14">
            <v>11.2248</v>
          </cell>
          <cell r="D14">
            <v>13.407999999999999</v>
          </cell>
          <cell r="E14">
            <v>15.186959999999999</v>
          </cell>
        </row>
        <row r="15">
          <cell r="A15">
            <v>11471</v>
          </cell>
          <cell r="B15" t="str">
            <v xml:space="preserve">맛소금１ＫＧ                  </v>
          </cell>
          <cell r="C15">
            <v>7.7448000000000006</v>
          </cell>
          <cell r="D15">
            <v>9.4643999999999995</v>
          </cell>
          <cell r="E15">
            <v>10.617599999999999</v>
          </cell>
        </row>
        <row r="16">
          <cell r="A16">
            <v>11485</v>
          </cell>
          <cell r="B16" t="str">
            <v xml:space="preserve">맛소금２ＫＧ                  </v>
          </cell>
          <cell r="C16">
            <v>5.0438999999999998</v>
          </cell>
          <cell r="D16">
            <v>5.1888000000000005</v>
          </cell>
          <cell r="E16">
            <v>6.0823499999999999</v>
          </cell>
        </row>
        <row r="17">
          <cell r="A17">
            <v>11489</v>
          </cell>
          <cell r="B17" t="str">
            <v>맛소금１．５ＫＧ　　　　　　　</v>
          </cell>
          <cell r="C17">
            <v>2.5652499999999998</v>
          </cell>
          <cell r="D17">
            <v>3.1201500000000002</v>
          </cell>
          <cell r="E17">
            <v>3.9819499999999999</v>
          </cell>
        </row>
        <row r="18">
          <cell r="A18">
            <v>1020101</v>
          </cell>
          <cell r="B18" t="str">
            <v xml:space="preserve">맛  소  금  (가)              </v>
          </cell>
          <cell r="C18">
            <v>34.418309999999998</v>
          </cell>
          <cell r="D18">
            <v>39.732050000000001</v>
          </cell>
          <cell r="E18">
            <v>45.80706</v>
          </cell>
        </row>
        <row r="19">
          <cell r="A19">
            <v>1020100</v>
          </cell>
          <cell r="B19" t="str">
            <v xml:space="preserve">일 반 맛 소 금                </v>
          </cell>
          <cell r="C19">
            <v>34.418309999999998</v>
          </cell>
          <cell r="D19">
            <v>39.732050000000001</v>
          </cell>
          <cell r="E19">
            <v>45.80706</v>
          </cell>
        </row>
        <row r="20">
          <cell r="A20">
            <v>770126</v>
          </cell>
          <cell r="B20" t="str">
            <v xml:space="preserve">구운소금５００Ｇ              </v>
          </cell>
          <cell r="C20">
            <v>8.6377199999999998</v>
          </cell>
          <cell r="D20">
            <v>9.3942800000000002</v>
          </cell>
          <cell r="E20">
            <v>10.478159999999999</v>
          </cell>
        </row>
        <row r="21">
          <cell r="A21">
            <v>770127</v>
          </cell>
          <cell r="B21" t="str">
            <v xml:space="preserve">구운소금１ＫＧ                </v>
          </cell>
          <cell r="C21">
            <v>8.8689999999999998</v>
          </cell>
          <cell r="D21">
            <v>10.687250000000001</v>
          </cell>
          <cell r="E21">
            <v>12.27275</v>
          </cell>
        </row>
        <row r="22">
          <cell r="A22">
            <v>770131</v>
          </cell>
          <cell r="B22" t="str">
            <v xml:space="preserve">구운소금２００Ｇ／지관        </v>
          </cell>
          <cell r="C22">
            <v>3.51878</v>
          </cell>
          <cell r="D22">
            <v>3.7040600000000001</v>
          </cell>
          <cell r="E22">
            <v>3.9819800000000001</v>
          </cell>
        </row>
        <row r="23">
          <cell r="A23">
            <v>1020301</v>
          </cell>
          <cell r="B23" t="str">
            <v xml:space="preserve">구   운  소   금              </v>
          </cell>
          <cell r="C23">
            <v>21.025500000000001</v>
          </cell>
          <cell r="D23">
            <v>23.785589999999999</v>
          </cell>
          <cell r="E23">
            <v>26.732890000000001</v>
          </cell>
        </row>
        <row r="24">
          <cell r="A24">
            <v>1020300</v>
          </cell>
          <cell r="B24" t="str">
            <v xml:space="preserve">건  강  소  금                </v>
          </cell>
          <cell r="C24">
            <v>21.025500000000001</v>
          </cell>
          <cell r="D24">
            <v>23.785589999999999</v>
          </cell>
          <cell r="E24">
            <v>26.732890000000001</v>
          </cell>
        </row>
        <row r="25">
          <cell r="A25">
            <v>1020000</v>
          </cell>
          <cell r="B25" t="str">
            <v xml:space="preserve">소    금    류                </v>
          </cell>
          <cell r="C25">
            <v>55.443809999999999</v>
          </cell>
          <cell r="D25">
            <v>63.51764</v>
          </cell>
          <cell r="E25">
            <v>72.53994999999999</v>
          </cell>
        </row>
        <row r="26">
          <cell r="A26">
            <v>100108</v>
          </cell>
          <cell r="B26" t="str">
            <v>쇠고기맛나３００Ｇ　　　　　　</v>
          </cell>
          <cell r="C26">
            <v>4.8616000000000001</v>
          </cell>
          <cell r="D26">
            <v>6.4625600000000007</v>
          </cell>
          <cell r="E26">
            <v>7.0083199999999994</v>
          </cell>
        </row>
        <row r="27">
          <cell r="A27">
            <v>100109</v>
          </cell>
          <cell r="B27" t="str">
            <v>쇠고기맛나５００Ｇ　　　　　　</v>
          </cell>
          <cell r="C27">
            <v>3.27677</v>
          </cell>
          <cell r="D27">
            <v>6.7238599999999993</v>
          </cell>
          <cell r="E27">
            <v>9.59328</v>
          </cell>
        </row>
        <row r="28">
          <cell r="A28">
            <v>100112</v>
          </cell>
          <cell r="B28" t="str">
            <v>쇠고기맛나７５０Ｇ　　　　　　</v>
          </cell>
          <cell r="C28">
            <v>2.1889000000000003</v>
          </cell>
          <cell r="D28">
            <v>4.1533800000000003</v>
          </cell>
          <cell r="E28">
            <v>5.7087399999999997</v>
          </cell>
        </row>
        <row r="29">
          <cell r="A29">
            <v>100118</v>
          </cell>
          <cell r="B29" t="str">
            <v xml:space="preserve">쇠고기맛나１ＫＧ　　　　　　  </v>
          </cell>
          <cell r="C29">
            <v>4.1350500000000006</v>
          </cell>
          <cell r="D29">
            <v>6.1132</v>
          </cell>
          <cell r="E29">
            <v>7.2031400000000003</v>
          </cell>
        </row>
        <row r="30">
          <cell r="A30">
            <v>100342</v>
          </cell>
          <cell r="B30" t="str">
            <v>쇠고기맛나２ＫＧ　　　　　　　</v>
          </cell>
          <cell r="C30">
            <v>5.8611800000000001</v>
          </cell>
          <cell r="D30">
            <v>12.61947</v>
          </cell>
          <cell r="E30">
            <v>15.53007</v>
          </cell>
        </row>
        <row r="31">
          <cell r="A31">
            <v>1030101</v>
          </cell>
          <cell r="B31" t="str">
            <v xml:space="preserve">쇠 고 기 맛   나              </v>
          </cell>
          <cell r="C31">
            <v>20.323499999999999</v>
          </cell>
          <cell r="D31">
            <v>36.072470000000003</v>
          </cell>
          <cell r="E31">
            <v>45.04354</v>
          </cell>
        </row>
        <row r="32">
          <cell r="A32">
            <v>1030100</v>
          </cell>
          <cell r="B32" t="str">
            <v xml:space="preserve">맛          나                </v>
          </cell>
          <cell r="C32">
            <v>20.323499999999999</v>
          </cell>
          <cell r="D32">
            <v>36.072470000000003</v>
          </cell>
          <cell r="E32">
            <v>45.04354</v>
          </cell>
        </row>
        <row r="33">
          <cell r="A33">
            <v>108106</v>
          </cell>
          <cell r="B33" t="str">
            <v>쇠고기감치미１２０Ｇ　　　　　</v>
          </cell>
          <cell r="C33">
            <v>3.2521499999999999</v>
          </cell>
          <cell r="D33">
            <v>3.8995000000000002</v>
          </cell>
          <cell r="E33">
            <v>5.1215000000000002</v>
          </cell>
        </row>
        <row r="34">
          <cell r="A34">
            <v>108114</v>
          </cell>
          <cell r="B34" t="str">
            <v xml:space="preserve">쇠고기감치미３００Ｇ          </v>
          </cell>
          <cell r="C34">
            <v>5.4530799999999999</v>
          </cell>
          <cell r="D34">
            <v>10.5428</v>
          </cell>
          <cell r="E34">
            <v>13.331760000000001</v>
          </cell>
        </row>
        <row r="35">
          <cell r="A35">
            <v>108123</v>
          </cell>
          <cell r="B35" t="str">
            <v xml:space="preserve">쇠고기감치미５００Ｇ          </v>
          </cell>
          <cell r="C35">
            <v>2.78247</v>
          </cell>
          <cell r="D35">
            <v>8.0121599999999997</v>
          </cell>
          <cell r="E35">
            <v>10.67475</v>
          </cell>
        </row>
        <row r="36">
          <cell r="A36">
            <v>108125</v>
          </cell>
          <cell r="B36" t="str">
            <v xml:space="preserve">쇠고기감치미７５０Ｇ　　　　  </v>
          </cell>
          <cell r="C36">
            <v>2.7199</v>
          </cell>
          <cell r="D36">
            <v>7.0616000000000003</v>
          </cell>
          <cell r="E36">
            <v>7.9992299999999998</v>
          </cell>
        </row>
        <row r="37">
          <cell r="A37">
            <v>108130</v>
          </cell>
          <cell r="B37" t="str">
            <v xml:space="preserve">쇠고기감치미１．５ＫＧ        </v>
          </cell>
          <cell r="C37">
            <v>-6.4140000000000003E-2</v>
          </cell>
          <cell r="D37">
            <v>0</v>
          </cell>
          <cell r="E37">
            <v>0</v>
          </cell>
        </row>
        <row r="38">
          <cell r="A38">
            <v>951302</v>
          </cell>
          <cell r="B38" t="str">
            <v xml:space="preserve">쇠고기감치미１ＫＧ            </v>
          </cell>
          <cell r="C38">
            <v>3.6572900000000002</v>
          </cell>
          <cell r="D38">
            <v>7.548</v>
          </cell>
          <cell r="E38">
            <v>10.837540000000001</v>
          </cell>
        </row>
        <row r="39">
          <cell r="A39">
            <v>1030301</v>
          </cell>
          <cell r="B39" t="str">
            <v xml:space="preserve">쇠 고 기감 치 미              </v>
          </cell>
          <cell r="C39">
            <v>17.800750000000001</v>
          </cell>
          <cell r="D39">
            <v>37.064059999999998</v>
          </cell>
          <cell r="E39">
            <v>47.964779999999998</v>
          </cell>
        </row>
        <row r="40">
          <cell r="A40">
            <v>108212</v>
          </cell>
          <cell r="B40" t="str">
            <v>해물감치미５００Ｇ　　　　　　</v>
          </cell>
          <cell r="C40">
            <v>1.7434000000000001</v>
          </cell>
          <cell r="D40">
            <v>3.44</v>
          </cell>
          <cell r="E40">
            <v>4.6706000000000003</v>
          </cell>
        </row>
        <row r="41">
          <cell r="A41">
            <v>108213</v>
          </cell>
          <cell r="B41" t="str">
            <v>해물감치미３００Ｇ　　　　　　</v>
          </cell>
          <cell r="C41">
            <v>3.2835999999999999</v>
          </cell>
          <cell r="D41">
            <v>4.6223999999999998</v>
          </cell>
          <cell r="E41">
            <v>5.6799799999999996</v>
          </cell>
        </row>
        <row r="42">
          <cell r="A42">
            <v>1030303</v>
          </cell>
          <cell r="B42" t="str">
            <v xml:space="preserve">해    물감 치 미              </v>
          </cell>
          <cell r="C42">
            <v>5.0270000000000001</v>
          </cell>
          <cell r="D42">
            <v>8.0624000000000002</v>
          </cell>
          <cell r="E42">
            <v>10.350580000000001</v>
          </cell>
        </row>
        <row r="43">
          <cell r="A43">
            <v>108301</v>
          </cell>
          <cell r="B43" t="str">
            <v xml:space="preserve">버섯감치미３００Ｇ            </v>
          </cell>
          <cell r="C43">
            <v>10.481879999999999</v>
          </cell>
          <cell r="D43">
            <v>4.9674799999999992</v>
          </cell>
          <cell r="E43">
            <v>6.7732200000000002</v>
          </cell>
        </row>
        <row r="44">
          <cell r="A44">
            <v>108302</v>
          </cell>
          <cell r="B44" t="str">
            <v xml:space="preserve">버섯감치미５００Ｇ            </v>
          </cell>
          <cell r="C44">
            <v>3.5099399999999998</v>
          </cell>
          <cell r="D44">
            <v>4.9153799999999999</v>
          </cell>
          <cell r="E44">
            <v>4.3846800000000004</v>
          </cell>
        </row>
        <row r="45">
          <cell r="A45">
            <v>1030304</v>
          </cell>
          <cell r="B45" t="str">
            <v xml:space="preserve">버    섯감 치 미              </v>
          </cell>
          <cell r="C45">
            <v>13.991820000000001</v>
          </cell>
          <cell r="D45">
            <v>9.8828600000000009</v>
          </cell>
          <cell r="E45">
            <v>11.1579</v>
          </cell>
        </row>
        <row r="46">
          <cell r="A46">
            <v>1030300</v>
          </cell>
          <cell r="B46" t="str">
            <v xml:space="preserve">감    치    미                </v>
          </cell>
          <cell r="C46">
            <v>36.819569999999999</v>
          </cell>
          <cell r="D46">
            <v>55.009320000000002</v>
          </cell>
          <cell r="E46">
            <v>69.473259999999996</v>
          </cell>
        </row>
        <row r="47">
          <cell r="A47">
            <v>1030000</v>
          </cell>
          <cell r="B47" t="str">
            <v xml:space="preserve">종 합 조미료류                </v>
          </cell>
          <cell r="C47">
            <v>57.143070000000002</v>
          </cell>
          <cell r="D47">
            <v>91.081789999999998</v>
          </cell>
          <cell r="E47">
            <v>114.51680999999999</v>
          </cell>
        </row>
        <row r="48">
          <cell r="A48">
            <v>221002</v>
          </cell>
          <cell r="B48" t="str">
            <v xml:space="preserve">쇠고기진육수４５０Ｇ          </v>
          </cell>
          <cell r="C48">
            <v>5.8423699999999998</v>
          </cell>
          <cell r="D48">
            <v>6.7117700000000005</v>
          </cell>
          <cell r="E48">
            <v>9.0069800000000004</v>
          </cell>
        </row>
        <row r="49">
          <cell r="A49">
            <v>1050101</v>
          </cell>
          <cell r="B49" t="str">
            <v xml:space="preserve">쇠 고 기진 육 수              </v>
          </cell>
          <cell r="C49">
            <v>5.8423699999999998</v>
          </cell>
          <cell r="D49">
            <v>6.7117700000000005</v>
          </cell>
          <cell r="E49">
            <v>9.0069800000000004</v>
          </cell>
        </row>
        <row r="50">
          <cell r="A50">
            <v>1050100</v>
          </cell>
          <cell r="B50" t="str">
            <v xml:space="preserve">진    육    수                </v>
          </cell>
          <cell r="C50">
            <v>5.8423699999999998</v>
          </cell>
          <cell r="D50">
            <v>6.7117700000000005</v>
          </cell>
          <cell r="E50">
            <v>9.0069800000000004</v>
          </cell>
        </row>
        <row r="51">
          <cell r="A51">
            <v>1050000</v>
          </cell>
          <cell r="B51" t="str">
            <v xml:space="preserve">육 수 류                      </v>
          </cell>
          <cell r="C51">
            <v>5.8423699999999998</v>
          </cell>
          <cell r="D51">
            <v>6.7117700000000005</v>
          </cell>
          <cell r="E51">
            <v>9.0069800000000004</v>
          </cell>
        </row>
        <row r="52">
          <cell r="A52">
            <v>60111</v>
          </cell>
          <cell r="B52" t="str">
            <v xml:space="preserve">청정원올리고당７００Ｇ        </v>
          </cell>
          <cell r="C52">
            <v>2.1989999999999998</v>
          </cell>
          <cell r="D52">
            <v>2.2400000000000002</v>
          </cell>
          <cell r="E52">
            <v>2.44</v>
          </cell>
        </row>
        <row r="53">
          <cell r="A53">
            <v>1700101</v>
          </cell>
          <cell r="B53" t="str">
            <v xml:space="preserve">올 리 고 당 (가)              </v>
          </cell>
          <cell r="C53">
            <v>2.1989999999999998</v>
          </cell>
          <cell r="D53">
            <v>2.2400000000000002</v>
          </cell>
          <cell r="E53">
            <v>2.44</v>
          </cell>
        </row>
        <row r="54">
          <cell r="A54">
            <v>1700100</v>
          </cell>
          <cell r="B54" t="str">
            <v xml:space="preserve">올  리  고  당                </v>
          </cell>
          <cell r="C54">
            <v>2.1989999999999998</v>
          </cell>
          <cell r="D54">
            <v>2.2400000000000002</v>
          </cell>
          <cell r="E54">
            <v>2.44</v>
          </cell>
        </row>
        <row r="55">
          <cell r="A55">
            <v>60411</v>
          </cell>
          <cell r="B55" t="str">
            <v xml:space="preserve">그린스위트１Ｇ스틱８０        </v>
          </cell>
          <cell r="C55">
            <v>0.52800000000000002</v>
          </cell>
          <cell r="D55">
            <v>0.65725</v>
          </cell>
          <cell r="E55">
            <v>0.85799999999999998</v>
          </cell>
        </row>
        <row r="56">
          <cell r="A56">
            <v>1700301</v>
          </cell>
          <cell r="B56" t="str">
            <v xml:space="preserve">그린스위트 （가）             </v>
          </cell>
          <cell r="C56">
            <v>0.52800000000000002</v>
          </cell>
          <cell r="D56">
            <v>0.65725</v>
          </cell>
          <cell r="E56">
            <v>0.85799999999999998</v>
          </cell>
        </row>
        <row r="57">
          <cell r="A57">
            <v>1700300</v>
          </cell>
          <cell r="B57" t="str">
            <v xml:space="preserve">그 린 스 위 트                </v>
          </cell>
          <cell r="C57">
            <v>0.52800000000000002</v>
          </cell>
          <cell r="D57">
            <v>0.65725</v>
          </cell>
          <cell r="E57">
            <v>0.85799999999999998</v>
          </cell>
        </row>
        <row r="58">
          <cell r="A58">
            <v>790102</v>
          </cell>
          <cell r="B58" t="str">
            <v xml:space="preserve">쌀엿１．２ＫＧ                </v>
          </cell>
          <cell r="C58">
            <v>4.8114300000000005</v>
          </cell>
          <cell r="D58">
            <v>2.6890000000000001E-2</v>
          </cell>
          <cell r="E58">
            <v>0</v>
          </cell>
        </row>
        <row r="59">
          <cell r="A59">
            <v>790103</v>
          </cell>
          <cell r="B59" t="str">
            <v xml:space="preserve">쌀엿３ＫＧ                    </v>
          </cell>
          <cell r="C59">
            <v>4.9408300000000001</v>
          </cell>
          <cell r="D59">
            <v>-5.5599999999999998E-3</v>
          </cell>
          <cell r="E59">
            <v>0</v>
          </cell>
        </row>
        <row r="60">
          <cell r="A60">
            <v>1700901</v>
          </cell>
          <cell r="B60" t="str">
            <v xml:space="preserve">쌀            엿              </v>
          </cell>
          <cell r="C60">
            <v>9.7522599999999997</v>
          </cell>
          <cell r="D60">
            <v>2.1329999999999998E-2</v>
          </cell>
          <cell r="E60">
            <v>0</v>
          </cell>
        </row>
        <row r="61">
          <cell r="A61">
            <v>790115</v>
          </cell>
          <cell r="B61" t="str">
            <v xml:space="preserve">올리고쌀엿１．２ＫＧ          </v>
          </cell>
          <cell r="C61">
            <v>2.9690400000000001</v>
          </cell>
          <cell r="D61">
            <v>6.1132799999999996</v>
          </cell>
          <cell r="E61">
            <v>7.2730600000000001</v>
          </cell>
        </row>
        <row r="62">
          <cell r="A62">
            <v>790116</v>
          </cell>
          <cell r="B62" t="str">
            <v xml:space="preserve">올리고쌀엿３ＫＧ              </v>
          </cell>
          <cell r="C62">
            <v>2.9614199999999999</v>
          </cell>
          <cell r="D62">
            <v>10.56156</v>
          </cell>
          <cell r="E62">
            <v>8.5050100000000004</v>
          </cell>
        </row>
        <row r="63">
          <cell r="A63">
            <v>1700903</v>
          </cell>
          <cell r="B63" t="str">
            <v xml:space="preserve">올 리 고   쌀 엿              </v>
          </cell>
          <cell r="C63">
            <v>5.9304600000000001</v>
          </cell>
          <cell r="D63">
            <v>16.67484</v>
          </cell>
          <cell r="E63">
            <v>15.77807</v>
          </cell>
        </row>
        <row r="64">
          <cell r="A64">
            <v>1700900</v>
          </cell>
          <cell r="B64" t="str">
            <v xml:space="preserve">쌀          엿                </v>
          </cell>
          <cell r="C64">
            <v>15.68272</v>
          </cell>
          <cell r="D64">
            <v>16.696169999999999</v>
          </cell>
          <cell r="E64">
            <v>15.77807</v>
          </cell>
        </row>
        <row r="65">
          <cell r="A65">
            <v>790110</v>
          </cell>
          <cell r="B65" t="str">
            <v xml:space="preserve">물엿１．２ＫＧ　　　　　      </v>
          </cell>
          <cell r="C65">
            <v>8.423</v>
          </cell>
          <cell r="D65">
            <v>8.6016000000000012</v>
          </cell>
          <cell r="E65">
            <v>10.465440000000001</v>
          </cell>
        </row>
        <row r="66">
          <cell r="A66">
            <v>800018</v>
          </cell>
          <cell r="B66" t="str">
            <v xml:space="preserve">물엿２．４５ＫＧ              </v>
          </cell>
          <cell r="C66">
            <v>6.048</v>
          </cell>
          <cell r="D66">
            <v>7.5013100000000001</v>
          </cell>
          <cell r="E66">
            <v>8.7788899999999988</v>
          </cell>
        </row>
        <row r="67">
          <cell r="A67">
            <v>1701101</v>
          </cell>
          <cell r="B67" t="str">
            <v xml:space="preserve">물      엿 （가）             </v>
          </cell>
          <cell r="C67">
            <v>14.471</v>
          </cell>
          <cell r="D67">
            <v>16.102910000000001</v>
          </cell>
          <cell r="E67">
            <v>19.244330000000001</v>
          </cell>
        </row>
        <row r="68">
          <cell r="A68">
            <v>1701100</v>
          </cell>
          <cell r="B68" t="str">
            <v xml:space="preserve">물          엿                </v>
          </cell>
          <cell r="C68">
            <v>14.471</v>
          </cell>
          <cell r="D68">
            <v>16.102910000000001</v>
          </cell>
          <cell r="E68">
            <v>19.244330000000001</v>
          </cell>
        </row>
        <row r="69">
          <cell r="A69">
            <v>800152</v>
          </cell>
          <cell r="B69" t="str">
            <v xml:space="preserve">요리조청１．２ＫＧ            </v>
          </cell>
          <cell r="C69">
            <v>2.6181999999999999</v>
          </cell>
          <cell r="D69">
            <v>3.3453600000000003</v>
          </cell>
          <cell r="E69">
            <v>3.6230799999999999</v>
          </cell>
        </row>
        <row r="70">
          <cell r="A70">
            <v>1701301</v>
          </cell>
          <cell r="B70" t="str">
            <v xml:space="preserve">요 리 조 청（가）             </v>
          </cell>
          <cell r="C70">
            <v>2.6181999999999999</v>
          </cell>
          <cell r="D70">
            <v>3.3453600000000003</v>
          </cell>
          <cell r="E70">
            <v>3.6230799999999999</v>
          </cell>
        </row>
        <row r="71">
          <cell r="A71">
            <v>1701300</v>
          </cell>
          <cell r="B71" t="str">
            <v xml:space="preserve">요　리　조　청                </v>
          </cell>
          <cell r="C71">
            <v>2.6181999999999999</v>
          </cell>
          <cell r="D71">
            <v>3.3453600000000003</v>
          </cell>
          <cell r="E71">
            <v>3.6230799999999999</v>
          </cell>
        </row>
        <row r="72">
          <cell r="A72">
            <v>1700000</v>
          </cell>
          <cell r="B72" t="str">
            <v xml:space="preserve">당          류                </v>
          </cell>
          <cell r="C72">
            <v>35.498919999999998</v>
          </cell>
          <cell r="D72">
            <v>39.041690000000003</v>
          </cell>
          <cell r="E72">
            <v>41.943480000000001</v>
          </cell>
        </row>
        <row r="73">
          <cell r="A73">
            <v>1834</v>
          </cell>
          <cell r="B73" t="str">
            <v xml:space="preserve">０１청정원　Ｅ－１호          </v>
          </cell>
          <cell r="C73">
            <v>20.3688</v>
          </cell>
          <cell r="D73">
            <v>0</v>
          </cell>
          <cell r="E73">
            <v>0</v>
          </cell>
        </row>
        <row r="74">
          <cell r="A74">
            <v>1835</v>
          </cell>
          <cell r="B74" t="str">
            <v xml:space="preserve">０１청정원　Ｅ－２호          </v>
          </cell>
          <cell r="C74">
            <v>13.025700000000001</v>
          </cell>
          <cell r="D74">
            <v>-0.17730000000000001</v>
          </cell>
          <cell r="E74">
            <v>-1.9699999999999999E-2</v>
          </cell>
        </row>
        <row r="75">
          <cell r="A75">
            <v>1900123</v>
          </cell>
          <cell r="B75" t="str">
            <v xml:space="preserve">０１ 종 합 세 트              </v>
          </cell>
          <cell r="C75">
            <v>33.394500000000001</v>
          </cell>
          <cell r="D75">
            <v>-0.17730000000000001</v>
          </cell>
          <cell r="E75">
            <v>-1.9699999999999999E-2</v>
          </cell>
        </row>
        <row r="76">
          <cell r="A76">
            <v>1900100</v>
          </cell>
          <cell r="B76" t="str">
            <v xml:space="preserve">당  사  세  트                </v>
          </cell>
          <cell r="C76">
            <v>33.394500000000001</v>
          </cell>
          <cell r="D76">
            <v>-0.17730000000000001</v>
          </cell>
          <cell r="E76">
            <v>-1.9699999999999999E-2</v>
          </cell>
        </row>
        <row r="77">
          <cell r="A77">
            <v>1900000</v>
          </cell>
          <cell r="B77" t="str">
            <v xml:space="preserve">당 사 세 트 류                </v>
          </cell>
          <cell r="C77">
            <v>33.394500000000001</v>
          </cell>
          <cell r="D77">
            <v>-0.17730000000000001</v>
          </cell>
          <cell r="E77">
            <v>-1.9699999999999999E-2</v>
          </cell>
        </row>
        <row r="78">
          <cell r="A78">
            <v>880121</v>
          </cell>
          <cell r="B78" t="str">
            <v>찰고추장비닐５００Ｇ　　　　　</v>
          </cell>
          <cell r="C78">
            <v>0.94847999999999999</v>
          </cell>
          <cell r="D78">
            <v>1.3087200000000001</v>
          </cell>
          <cell r="E78">
            <v>5.7805600000000004</v>
          </cell>
        </row>
        <row r="79">
          <cell r="A79">
            <v>880134</v>
          </cell>
          <cell r="B79" t="str">
            <v>찰고추장사각１ＫＧ　　　　　　</v>
          </cell>
          <cell r="C79">
            <v>19.221240000000002</v>
          </cell>
          <cell r="D79">
            <v>20.925000000000001</v>
          </cell>
          <cell r="E79">
            <v>22.53576</v>
          </cell>
        </row>
        <row r="80">
          <cell r="A80">
            <v>880148</v>
          </cell>
          <cell r="B80" t="str">
            <v xml:space="preserve">찰고추장사각３ＫＧ　　　　    </v>
          </cell>
          <cell r="C80">
            <v>207.92699999999999</v>
          </cell>
          <cell r="D80">
            <v>91.261380000000003</v>
          </cell>
          <cell r="E80">
            <v>88.07226</v>
          </cell>
        </row>
        <row r="81">
          <cell r="A81">
            <v>880151</v>
          </cell>
          <cell r="B81" t="str">
            <v xml:space="preserve">찰고추장사각１．２Ｋ/이　　　 </v>
          </cell>
          <cell r="C81">
            <v>0</v>
          </cell>
          <cell r="D81">
            <v>-4.2000000000000006E-3</v>
          </cell>
          <cell r="E81">
            <v>0</v>
          </cell>
        </row>
        <row r="82">
          <cell r="A82">
            <v>880152</v>
          </cell>
          <cell r="B82" t="str">
            <v xml:space="preserve">찰고추장비닐９００Ｇ　　　　  </v>
          </cell>
          <cell r="C82">
            <v>0.90048000000000006</v>
          </cell>
          <cell r="D82">
            <v>1.25424</v>
          </cell>
          <cell r="E82">
            <v>6.6463999999999999</v>
          </cell>
        </row>
        <row r="83">
          <cell r="A83">
            <v>880162</v>
          </cell>
          <cell r="B83" t="str">
            <v xml:space="preserve">찰고추장원통２ＫＧ            </v>
          </cell>
          <cell r="C83">
            <v>10.366400000000001</v>
          </cell>
          <cell r="D83">
            <v>9.8767199999999988</v>
          </cell>
          <cell r="E83">
            <v>10.639379999999999</v>
          </cell>
        </row>
        <row r="84">
          <cell r="A84">
            <v>880163</v>
          </cell>
          <cell r="B84" t="str">
            <v xml:space="preserve">찰고추장원통１．４ＫＧ        </v>
          </cell>
          <cell r="C84">
            <v>10.336499999999999</v>
          </cell>
          <cell r="D84">
            <v>11.654999999999999</v>
          </cell>
          <cell r="E84">
            <v>12.465</v>
          </cell>
        </row>
        <row r="85">
          <cell r="A85">
            <v>880165</v>
          </cell>
          <cell r="B85" t="str">
            <v xml:space="preserve">찰고추장원통５．３ＫＧ        </v>
          </cell>
          <cell r="C85">
            <v>0.61320000000000008</v>
          </cell>
          <cell r="D85">
            <v>0.37960000000000005</v>
          </cell>
          <cell r="E85">
            <v>0.64239999999999997</v>
          </cell>
        </row>
        <row r="86">
          <cell r="A86">
            <v>880175</v>
          </cell>
          <cell r="B86" t="str">
            <v xml:space="preserve">초고추장튜브３１０Ｇ          </v>
          </cell>
          <cell r="C86">
            <v>6.1608000000000001</v>
          </cell>
          <cell r="D86">
            <v>8.2620000000000005</v>
          </cell>
          <cell r="E86">
            <v>9.7685400000000016</v>
          </cell>
        </row>
        <row r="87">
          <cell r="A87">
            <v>880176</v>
          </cell>
          <cell r="B87" t="str">
            <v xml:space="preserve">초고추장튜브５３０Ｇ          </v>
          </cell>
          <cell r="C87">
            <v>8.3918799999999987</v>
          </cell>
          <cell r="D87">
            <v>10.28044</v>
          </cell>
          <cell r="E87">
            <v>13.551879999999999</v>
          </cell>
        </row>
        <row r="88">
          <cell r="A88">
            <v>3030101</v>
          </cell>
          <cell r="B88" t="str">
            <v xml:space="preserve">고  추  장 （가）             </v>
          </cell>
          <cell r="C88">
            <v>264.86597999999998</v>
          </cell>
          <cell r="D88">
            <v>155.19889999999998</v>
          </cell>
          <cell r="E88">
            <v>170.10218</v>
          </cell>
        </row>
        <row r="89">
          <cell r="A89">
            <v>601034</v>
          </cell>
          <cell r="B89" t="str">
            <v xml:space="preserve">명품고추장캔１４ＫＧ          </v>
          </cell>
          <cell r="C89">
            <v>6.6655200000000008</v>
          </cell>
          <cell r="D89">
            <v>6.6929499999999997</v>
          </cell>
          <cell r="E89">
            <v>8.7280099999999994</v>
          </cell>
        </row>
        <row r="90">
          <cell r="A90">
            <v>881101</v>
          </cell>
          <cell r="B90" t="str">
            <v xml:space="preserve">찰고추장캔１４ＫＧ            </v>
          </cell>
          <cell r="C90">
            <v>0.30935000000000001</v>
          </cell>
          <cell r="D90">
            <v>1.2922799999999999</v>
          </cell>
          <cell r="E90">
            <v>0.96921000000000002</v>
          </cell>
        </row>
        <row r="91">
          <cell r="A91">
            <v>881102</v>
          </cell>
          <cell r="B91" t="str">
            <v xml:space="preserve">진고추장캔１４ＫＧ            </v>
          </cell>
          <cell r="C91">
            <v>1.8487</v>
          </cell>
          <cell r="D91">
            <v>1.5438499999999999</v>
          </cell>
          <cell r="E91">
            <v>1.66415</v>
          </cell>
        </row>
        <row r="92">
          <cell r="A92">
            <v>3030103</v>
          </cell>
          <cell r="B92" t="str">
            <v xml:space="preserve">고  추  장 （업）             </v>
          </cell>
          <cell r="C92">
            <v>8.8235700000000001</v>
          </cell>
          <cell r="D92">
            <v>9.5290800000000004</v>
          </cell>
          <cell r="E92">
            <v>11.361370000000001</v>
          </cell>
        </row>
        <row r="93">
          <cell r="A93">
            <v>880200</v>
          </cell>
          <cell r="B93" t="str">
            <v xml:space="preserve">매운고추장사각５００Ｇ        </v>
          </cell>
          <cell r="C93">
            <v>8.2700800000000001</v>
          </cell>
          <cell r="D93">
            <v>8.5388799999999989</v>
          </cell>
          <cell r="E93">
            <v>9.1212800000000005</v>
          </cell>
        </row>
        <row r="94">
          <cell r="A94">
            <v>880202</v>
          </cell>
          <cell r="B94" t="str">
            <v xml:space="preserve">매운고추장사각１ＫＧ          </v>
          </cell>
          <cell r="C94">
            <v>5.9018999999999995</v>
          </cell>
          <cell r="D94">
            <v>10.252879999999999</v>
          </cell>
          <cell r="E94">
            <v>7.4222600000000005</v>
          </cell>
        </row>
        <row r="95">
          <cell r="A95">
            <v>880208</v>
          </cell>
          <cell r="B95" t="str">
            <v xml:space="preserve">매운고추장원통７ＫＧ          </v>
          </cell>
          <cell r="C95">
            <v>0.77400000000000002</v>
          </cell>
          <cell r="D95">
            <v>7.5540000000000003</v>
          </cell>
          <cell r="E95">
            <v>7.7279999999999998</v>
          </cell>
        </row>
        <row r="96">
          <cell r="A96">
            <v>3030105</v>
          </cell>
          <cell r="B96" t="str">
            <v xml:space="preserve">매  운  고 추 장              </v>
          </cell>
          <cell r="C96">
            <v>14.945979999999999</v>
          </cell>
          <cell r="D96">
            <v>26.345759999999999</v>
          </cell>
          <cell r="E96">
            <v>24.271540000000002</v>
          </cell>
        </row>
        <row r="97">
          <cell r="A97">
            <v>3030100</v>
          </cell>
          <cell r="B97" t="str">
            <v xml:space="preserve">고    추    장                </v>
          </cell>
          <cell r="C97">
            <v>288.63553000000002</v>
          </cell>
          <cell r="D97">
            <v>191.07373999999999</v>
          </cell>
          <cell r="E97">
            <v>205.73508999999999</v>
          </cell>
        </row>
        <row r="98">
          <cell r="A98">
            <v>600960</v>
          </cell>
          <cell r="B98" t="str">
            <v xml:space="preserve">순창된장비닐５００Ｇ          </v>
          </cell>
          <cell r="C98">
            <v>4.31168</v>
          </cell>
          <cell r="D98">
            <v>4.6521600000000003</v>
          </cell>
          <cell r="E98">
            <v>5.7183999999999999</v>
          </cell>
        </row>
        <row r="99">
          <cell r="A99">
            <v>880143</v>
          </cell>
          <cell r="B99" t="str">
            <v xml:space="preserve">순창된장사각１．２Ｋ／이      </v>
          </cell>
          <cell r="C99">
            <v>0</v>
          </cell>
          <cell r="D99">
            <v>0</v>
          </cell>
          <cell r="E99">
            <v>0</v>
          </cell>
        </row>
        <row r="100">
          <cell r="A100">
            <v>880985</v>
          </cell>
          <cell r="B100" t="str">
            <v xml:space="preserve">순창된장사각１ＫＧ            </v>
          </cell>
          <cell r="C100">
            <v>3.81257</v>
          </cell>
          <cell r="D100">
            <v>3.9462299999999999</v>
          </cell>
          <cell r="E100">
            <v>4.2168100000000006</v>
          </cell>
        </row>
        <row r="101">
          <cell r="A101">
            <v>880988</v>
          </cell>
          <cell r="B101" t="str">
            <v xml:space="preserve">햇살된장에발４５０Ｇ          </v>
          </cell>
          <cell r="C101">
            <v>2.8224</v>
          </cell>
          <cell r="D101">
            <v>28.56</v>
          </cell>
          <cell r="E101">
            <v>1.4322000000000001</v>
          </cell>
        </row>
        <row r="102">
          <cell r="A102">
            <v>880991</v>
          </cell>
          <cell r="B102" t="str">
            <v xml:space="preserve">순창된장원통２ＫＧ            </v>
          </cell>
          <cell r="C102">
            <v>7.53</v>
          </cell>
          <cell r="D102">
            <v>8.0280000000000005</v>
          </cell>
          <cell r="E102">
            <v>8.9819999999999993</v>
          </cell>
        </row>
        <row r="103">
          <cell r="A103">
            <v>3030301</v>
          </cell>
          <cell r="B103" t="str">
            <v xml:space="preserve">된      장 （가）             </v>
          </cell>
          <cell r="C103">
            <v>18.476650000000003</v>
          </cell>
          <cell r="D103">
            <v>45.186390000000003</v>
          </cell>
          <cell r="E103">
            <v>20.349409999999999</v>
          </cell>
        </row>
        <row r="104">
          <cell r="A104">
            <v>600962</v>
          </cell>
          <cell r="B104" t="str">
            <v xml:space="preserve">순창된장지함１４ＫＧ          </v>
          </cell>
          <cell r="C104">
            <v>6.1082799999999997</v>
          </cell>
          <cell r="D104">
            <v>6.85853</v>
          </cell>
          <cell r="E104">
            <v>7.3783700000000003</v>
          </cell>
        </row>
        <row r="105">
          <cell r="A105">
            <v>3030303</v>
          </cell>
          <cell r="B105" t="str">
            <v xml:space="preserve">된      장 （업）             </v>
          </cell>
          <cell r="C105">
            <v>6.1082799999999997</v>
          </cell>
          <cell r="D105">
            <v>6.85853</v>
          </cell>
          <cell r="E105">
            <v>7.3783700000000003</v>
          </cell>
        </row>
        <row r="106">
          <cell r="A106">
            <v>880402</v>
          </cell>
          <cell r="B106" t="str">
            <v xml:space="preserve">순창콩된장９００Ｇ            </v>
          </cell>
          <cell r="C106">
            <v>13.7943</v>
          </cell>
          <cell r="D106">
            <v>10.9323</v>
          </cell>
          <cell r="E106">
            <v>7.3818000000000001</v>
          </cell>
        </row>
        <row r="107">
          <cell r="A107">
            <v>3030305</v>
          </cell>
          <cell r="B107" t="str">
            <v xml:space="preserve">콩     된     장              </v>
          </cell>
          <cell r="C107">
            <v>13.7943</v>
          </cell>
          <cell r="D107">
            <v>10.9323</v>
          </cell>
          <cell r="E107">
            <v>7.3818000000000001</v>
          </cell>
        </row>
        <row r="108">
          <cell r="A108">
            <v>3030300</v>
          </cell>
          <cell r="B108" t="str">
            <v xml:space="preserve">된　        장                </v>
          </cell>
          <cell r="C108">
            <v>38.37923</v>
          </cell>
          <cell r="D108">
            <v>62.977220000000003</v>
          </cell>
          <cell r="E108">
            <v>35.109580000000001</v>
          </cell>
        </row>
        <row r="109">
          <cell r="A109">
            <v>881017</v>
          </cell>
          <cell r="B109" t="str">
            <v xml:space="preserve">순창쌈장비닐５００Ｇ　　　　  </v>
          </cell>
          <cell r="C109">
            <v>6.4685200000000007</v>
          </cell>
          <cell r="D109">
            <v>8.0969200000000008</v>
          </cell>
          <cell r="E109">
            <v>8.4032800000000005</v>
          </cell>
        </row>
        <row r="110">
          <cell r="A110">
            <v>881020</v>
          </cell>
          <cell r="B110" t="str">
            <v xml:space="preserve">순창쌈장사각５００Ｇ          </v>
          </cell>
          <cell r="C110">
            <v>13.544639999999999</v>
          </cell>
          <cell r="D110">
            <v>15.59376</v>
          </cell>
          <cell r="E110">
            <v>18.33408</v>
          </cell>
        </row>
        <row r="111">
          <cell r="A111">
            <v>881021</v>
          </cell>
          <cell r="B111" t="str">
            <v xml:space="preserve">순창쌈장사각１ＫＧ            </v>
          </cell>
          <cell r="C111">
            <v>7.4269799999999995</v>
          </cell>
          <cell r="D111">
            <v>9.3000600000000002</v>
          </cell>
          <cell r="E111">
            <v>8.8499400000000001</v>
          </cell>
        </row>
        <row r="112">
          <cell r="A112">
            <v>881027</v>
          </cell>
          <cell r="B112" t="str">
            <v xml:space="preserve">순창쌈장원통２ＫＧ            </v>
          </cell>
          <cell r="C112">
            <v>4.6515000000000004</v>
          </cell>
          <cell r="D112">
            <v>4.3458300000000003</v>
          </cell>
          <cell r="E112">
            <v>5.2362600000000006</v>
          </cell>
        </row>
        <row r="113">
          <cell r="A113">
            <v>3030501</v>
          </cell>
          <cell r="B113" t="str">
            <v xml:space="preserve">쌈      장 （가）             </v>
          </cell>
          <cell r="C113">
            <v>32.091639999999998</v>
          </cell>
          <cell r="D113">
            <v>37.336570000000002</v>
          </cell>
          <cell r="E113">
            <v>40.823560000000001</v>
          </cell>
        </row>
        <row r="114">
          <cell r="A114">
            <v>981018</v>
          </cell>
          <cell r="B114" t="str">
            <v xml:space="preserve">순창쌈장캔１４ＫＧ            </v>
          </cell>
          <cell r="C114">
            <v>0.88595000000000002</v>
          </cell>
          <cell r="D114">
            <v>0.84960000000000002</v>
          </cell>
          <cell r="E114">
            <v>1.0063</v>
          </cell>
        </row>
        <row r="115">
          <cell r="A115">
            <v>3030503</v>
          </cell>
          <cell r="B115" t="str">
            <v xml:space="preserve">쌈      장 （업）             </v>
          </cell>
          <cell r="C115">
            <v>0.88595000000000002</v>
          </cell>
          <cell r="D115">
            <v>0.84960000000000002</v>
          </cell>
          <cell r="E115">
            <v>1.0063</v>
          </cell>
        </row>
        <row r="116">
          <cell r="A116">
            <v>3030500</v>
          </cell>
          <cell r="B116" t="str">
            <v xml:space="preserve">쌈　        장                </v>
          </cell>
          <cell r="C116">
            <v>32.977589999999999</v>
          </cell>
          <cell r="D116">
            <v>38.186169999999997</v>
          </cell>
          <cell r="E116">
            <v>41.829860000000004</v>
          </cell>
        </row>
        <row r="117">
          <cell r="A117">
            <v>603014</v>
          </cell>
          <cell r="B117" t="str">
            <v xml:space="preserve">햇살조림간장９８０Ｇ          </v>
          </cell>
          <cell r="C117">
            <v>20.71</v>
          </cell>
          <cell r="D117">
            <v>22.071999999999999</v>
          </cell>
          <cell r="E117">
            <v>25.67</v>
          </cell>
        </row>
        <row r="118">
          <cell r="A118">
            <v>603018</v>
          </cell>
          <cell r="B118" t="str">
            <v xml:space="preserve">햇살조림간장１．７Ｌ          </v>
          </cell>
          <cell r="C118">
            <v>19.931000000000001</v>
          </cell>
          <cell r="D118">
            <v>24.859599999999997</v>
          </cell>
          <cell r="E118">
            <v>21.28</v>
          </cell>
        </row>
        <row r="119">
          <cell r="A119">
            <v>3030705</v>
          </cell>
          <cell r="B119" t="str">
            <v xml:space="preserve">햇  살    조  림              </v>
          </cell>
          <cell r="C119">
            <v>40.640999999999998</v>
          </cell>
          <cell r="D119">
            <v>46.931599999999996</v>
          </cell>
          <cell r="E119">
            <v>46.95</v>
          </cell>
        </row>
        <row r="120">
          <cell r="A120">
            <v>603102</v>
          </cell>
          <cell r="B120" t="str">
            <v xml:space="preserve">햇살소스간장４８５Ｇ          </v>
          </cell>
          <cell r="C120">
            <v>1.5840000000000001</v>
          </cell>
          <cell r="D120">
            <v>0.79200000000000004</v>
          </cell>
          <cell r="E120">
            <v>0</v>
          </cell>
        </row>
        <row r="121">
          <cell r="A121">
            <v>3030707</v>
          </cell>
          <cell r="B121" t="str">
            <v xml:space="preserve">햇  살    소  스              </v>
          </cell>
          <cell r="C121">
            <v>1.5840000000000001</v>
          </cell>
          <cell r="D121">
            <v>0.79200000000000004</v>
          </cell>
          <cell r="E121">
            <v>0</v>
          </cell>
        </row>
        <row r="122">
          <cell r="A122">
            <v>603151</v>
          </cell>
          <cell r="B122" t="str">
            <v xml:space="preserve">햇살국간장４９５Ｇ            </v>
          </cell>
          <cell r="C122">
            <v>1.5840000000000001</v>
          </cell>
          <cell r="D122">
            <v>2.3969999999999998</v>
          </cell>
          <cell r="E122">
            <v>2.085</v>
          </cell>
        </row>
        <row r="123">
          <cell r="A123">
            <v>603152</v>
          </cell>
          <cell r="B123" t="str">
            <v xml:space="preserve">햇살국간장９９０Ｇ            </v>
          </cell>
          <cell r="C123">
            <v>2.2343999999999999</v>
          </cell>
          <cell r="D123">
            <v>3.1235999999999997</v>
          </cell>
          <cell r="E123">
            <v>3.8056999999999999</v>
          </cell>
        </row>
        <row r="124">
          <cell r="A124">
            <v>3030709</v>
          </cell>
          <cell r="B124" t="str">
            <v xml:space="preserve">햇  살        국              </v>
          </cell>
          <cell r="C124">
            <v>3.8184</v>
          </cell>
          <cell r="D124">
            <v>5.5206</v>
          </cell>
          <cell r="E124">
            <v>5.8906999999999998</v>
          </cell>
        </row>
        <row r="125">
          <cell r="A125">
            <v>603175</v>
          </cell>
          <cell r="B125" t="str">
            <v xml:space="preserve">햇살진간장１Ｌ                </v>
          </cell>
          <cell r="C125">
            <v>0</v>
          </cell>
          <cell r="D125">
            <v>0</v>
          </cell>
          <cell r="E125">
            <v>0</v>
          </cell>
        </row>
        <row r="126">
          <cell r="A126">
            <v>603176</v>
          </cell>
          <cell r="B126" t="str">
            <v xml:space="preserve">햇살진간장１．７Ｌ            </v>
          </cell>
          <cell r="C126">
            <v>29.816880000000001</v>
          </cell>
          <cell r="D126">
            <v>35.400469999999999</v>
          </cell>
          <cell r="E126">
            <v>43.924939999999999</v>
          </cell>
        </row>
        <row r="127">
          <cell r="A127">
            <v>603192</v>
          </cell>
          <cell r="B127" t="str">
            <v xml:space="preserve">햇살진간장３．６Ｌ            </v>
          </cell>
          <cell r="C127">
            <v>1.9039999999999999</v>
          </cell>
          <cell r="D127">
            <v>3.7183999999999999</v>
          </cell>
          <cell r="E127">
            <v>2.9791999999999996</v>
          </cell>
        </row>
        <row r="128">
          <cell r="A128">
            <v>603198</v>
          </cell>
          <cell r="B128" t="str">
            <v>햇살진１．７Ｌ＋식용유５００ML</v>
          </cell>
          <cell r="C128">
            <v>0</v>
          </cell>
          <cell r="D128">
            <v>38.395600000000002</v>
          </cell>
          <cell r="E128">
            <v>12.031600000000001</v>
          </cell>
        </row>
        <row r="129">
          <cell r="A129">
            <v>3030711</v>
          </cell>
          <cell r="B129" t="str">
            <v xml:space="preserve">햇  살        진              </v>
          </cell>
          <cell r="C129">
            <v>31.720880000000001</v>
          </cell>
          <cell r="D129">
            <v>77.514470000000003</v>
          </cell>
          <cell r="E129">
            <v>58.935739999999996</v>
          </cell>
        </row>
        <row r="130">
          <cell r="A130">
            <v>603200</v>
          </cell>
          <cell r="B130" t="str">
            <v xml:space="preserve">햇살매실간장１Ｌ／이마트      </v>
          </cell>
          <cell r="C130">
            <v>0</v>
          </cell>
          <cell r="D130">
            <v>0</v>
          </cell>
          <cell r="E130">
            <v>3.7751999999999999</v>
          </cell>
        </row>
        <row r="131">
          <cell r="A131">
            <v>603201</v>
          </cell>
          <cell r="B131" t="str">
            <v xml:space="preserve">햇살매실간장１．７Ｌ／이마트  </v>
          </cell>
          <cell r="C131">
            <v>0</v>
          </cell>
          <cell r="D131">
            <v>0</v>
          </cell>
          <cell r="E131">
            <v>5.1134399999999998</v>
          </cell>
        </row>
        <row r="132">
          <cell r="A132">
            <v>3030717</v>
          </cell>
          <cell r="B132" t="str">
            <v xml:space="preserve">햇  살    매  실              </v>
          </cell>
          <cell r="C132">
            <v>0</v>
          </cell>
          <cell r="D132">
            <v>0</v>
          </cell>
          <cell r="E132">
            <v>8.8886399999999988</v>
          </cell>
        </row>
        <row r="133">
          <cell r="A133">
            <v>3030700</v>
          </cell>
          <cell r="B133" t="str">
            <v xml:space="preserve">간　        장                </v>
          </cell>
          <cell r="C133">
            <v>77.764279999999999</v>
          </cell>
          <cell r="D133">
            <v>130.75867</v>
          </cell>
          <cell r="E133">
            <v>120.66508</v>
          </cell>
        </row>
        <row r="134">
          <cell r="A134">
            <v>3030000</v>
          </cell>
          <cell r="B134" t="str">
            <v xml:space="preserve">장　        류                </v>
          </cell>
          <cell r="C134">
            <v>437.75663000000003</v>
          </cell>
          <cell r="D134">
            <v>422.99579999999997</v>
          </cell>
          <cell r="E134">
            <v>403.33960999999999</v>
          </cell>
        </row>
        <row r="135">
          <cell r="A135">
            <v>880313</v>
          </cell>
          <cell r="B135" t="str">
            <v>민속당면골드８６０Ｇ　　　　　</v>
          </cell>
          <cell r="C135">
            <v>6.04589</v>
          </cell>
          <cell r="D135">
            <v>12.79538</v>
          </cell>
          <cell r="E135">
            <v>21.855880000000003</v>
          </cell>
        </row>
        <row r="136">
          <cell r="A136">
            <v>3050101</v>
          </cell>
          <cell r="B136" t="str">
            <v xml:space="preserve">국    산  당  면              </v>
          </cell>
          <cell r="C136">
            <v>6.04589</v>
          </cell>
          <cell r="D136">
            <v>12.79538</v>
          </cell>
          <cell r="E136">
            <v>21.855880000000003</v>
          </cell>
        </row>
        <row r="137">
          <cell r="A137">
            <v>880321</v>
          </cell>
          <cell r="B137" t="str">
            <v xml:space="preserve">수라당면５００Ｇ              </v>
          </cell>
          <cell r="C137">
            <v>10.365600000000001</v>
          </cell>
          <cell r="D137">
            <v>19.461599999999997</v>
          </cell>
          <cell r="E137">
            <v>27.938400000000001</v>
          </cell>
        </row>
        <row r="138">
          <cell r="A138">
            <v>3050107</v>
          </cell>
          <cell r="B138" t="str">
            <v xml:space="preserve">청 정 원  당  면              </v>
          </cell>
          <cell r="C138">
            <v>10.365600000000001</v>
          </cell>
          <cell r="D138">
            <v>19.461599999999997</v>
          </cell>
          <cell r="E138">
            <v>27.938400000000001</v>
          </cell>
        </row>
        <row r="139">
          <cell r="A139">
            <v>3050100</v>
          </cell>
          <cell r="B139" t="str">
            <v xml:space="preserve">당          면                </v>
          </cell>
          <cell r="C139">
            <v>16.411490000000001</v>
          </cell>
          <cell r="D139">
            <v>32.256979999999999</v>
          </cell>
          <cell r="E139">
            <v>49.794280000000001</v>
          </cell>
        </row>
        <row r="140">
          <cell r="A140">
            <v>3050000</v>
          </cell>
          <cell r="B140" t="str">
            <v xml:space="preserve">면　        류                </v>
          </cell>
          <cell r="C140">
            <v>16.411490000000001</v>
          </cell>
          <cell r="D140">
            <v>32.256979999999999</v>
          </cell>
          <cell r="E140">
            <v>49.794280000000001</v>
          </cell>
        </row>
        <row r="141">
          <cell r="A141">
            <v>880907</v>
          </cell>
          <cell r="B141" t="str">
            <v xml:space="preserve">양조식초ＰＥＴ１．８Ｌ        </v>
          </cell>
          <cell r="C141">
            <v>2.30945</v>
          </cell>
          <cell r="D141">
            <v>1.9804999999999999</v>
          </cell>
          <cell r="E141">
            <v>1.9125000000000001</v>
          </cell>
        </row>
        <row r="142">
          <cell r="A142">
            <v>880912</v>
          </cell>
          <cell r="B142" t="str">
            <v>사과식초１．８Ｌ　　　　　　　</v>
          </cell>
          <cell r="C142">
            <v>2.8163499999999999</v>
          </cell>
          <cell r="D142">
            <v>2.13435</v>
          </cell>
          <cell r="E142">
            <v>2.4133499999999999</v>
          </cell>
        </row>
        <row r="143">
          <cell r="A143">
            <v>880913</v>
          </cell>
          <cell r="B143" t="str">
            <v>사과식초５００ＭＬ　　　　　　</v>
          </cell>
          <cell r="C143">
            <v>5.5011599999999996</v>
          </cell>
          <cell r="D143">
            <v>6.1784099999999995</v>
          </cell>
          <cell r="E143">
            <v>6.70824</v>
          </cell>
        </row>
        <row r="144">
          <cell r="A144">
            <v>880914</v>
          </cell>
          <cell r="B144" t="str">
            <v>사과식초９００ＭＬ　　　　　　</v>
          </cell>
          <cell r="C144">
            <v>0</v>
          </cell>
          <cell r="D144">
            <v>0</v>
          </cell>
          <cell r="E144">
            <v>0</v>
          </cell>
        </row>
        <row r="145">
          <cell r="A145">
            <v>880915</v>
          </cell>
          <cell r="B145" t="str">
            <v xml:space="preserve">현미식초５００ＭＬ　　　      </v>
          </cell>
          <cell r="C145">
            <v>3.0568299999999997</v>
          </cell>
          <cell r="D145">
            <v>2.9007499999999999</v>
          </cell>
          <cell r="E145">
            <v>3.4660799999999998</v>
          </cell>
        </row>
        <row r="146">
          <cell r="A146">
            <v>3070101</v>
          </cell>
          <cell r="B146" t="str">
            <v xml:space="preserve">식      초 （가）             </v>
          </cell>
          <cell r="C146">
            <v>13.68379</v>
          </cell>
          <cell r="D146">
            <v>13.19401</v>
          </cell>
          <cell r="E146">
            <v>14.500170000000001</v>
          </cell>
        </row>
        <row r="147">
          <cell r="A147">
            <v>880951</v>
          </cell>
          <cell r="B147" t="str">
            <v xml:space="preserve">２배양조식초９００ＭＬ        </v>
          </cell>
          <cell r="C147">
            <v>1.2096</v>
          </cell>
          <cell r="D147">
            <v>1.256</v>
          </cell>
          <cell r="E147">
            <v>1.4967999999999999</v>
          </cell>
        </row>
        <row r="148">
          <cell r="A148">
            <v>880953</v>
          </cell>
          <cell r="B148" t="str">
            <v xml:space="preserve">２배사과식초９００ＭＬ        </v>
          </cell>
          <cell r="C148">
            <v>3.6647500000000002</v>
          </cell>
          <cell r="D148">
            <v>3.7633899999999998</v>
          </cell>
          <cell r="E148">
            <v>4.3730399999999996</v>
          </cell>
        </row>
        <row r="149">
          <cell r="A149">
            <v>3070107</v>
          </cell>
          <cell r="B149" t="str">
            <v xml:space="preserve">２ 배 진 한 식초              </v>
          </cell>
          <cell r="C149">
            <v>4.8743500000000006</v>
          </cell>
          <cell r="D149">
            <v>5.0193900000000005</v>
          </cell>
          <cell r="E149">
            <v>5.8698399999999999</v>
          </cell>
        </row>
        <row r="150">
          <cell r="A150">
            <v>3070100</v>
          </cell>
          <cell r="B150" t="str">
            <v xml:space="preserve">식          초                </v>
          </cell>
          <cell r="C150">
            <v>18.558139999999998</v>
          </cell>
          <cell r="D150">
            <v>18.2134</v>
          </cell>
          <cell r="E150">
            <v>20.370009999999997</v>
          </cell>
        </row>
        <row r="151">
          <cell r="A151">
            <v>3070000</v>
          </cell>
          <cell r="B151" t="str">
            <v xml:space="preserve">식    초    류                </v>
          </cell>
          <cell r="C151">
            <v>18.558139999999998</v>
          </cell>
          <cell r="D151">
            <v>18.2134</v>
          </cell>
          <cell r="E151">
            <v>20.370009999999997</v>
          </cell>
        </row>
        <row r="152">
          <cell r="A152">
            <v>500105</v>
          </cell>
          <cell r="B152" t="str">
            <v>마요네즈５００Ｇ　　　　　　　</v>
          </cell>
          <cell r="C152">
            <v>4.57125</v>
          </cell>
          <cell r="D152">
            <v>5.4424999999999999</v>
          </cell>
          <cell r="E152">
            <v>6.2249999999999996</v>
          </cell>
        </row>
        <row r="153">
          <cell r="A153">
            <v>500109</v>
          </cell>
          <cell r="B153" t="str">
            <v>마요네즈８００Ｇ　　　　　　　</v>
          </cell>
          <cell r="C153">
            <v>4.3197000000000001</v>
          </cell>
          <cell r="D153">
            <v>5.4348999999999998</v>
          </cell>
          <cell r="E153">
            <v>7.0362999999999998</v>
          </cell>
        </row>
        <row r="154">
          <cell r="A154">
            <v>500436</v>
          </cell>
          <cell r="B154" t="str">
            <v xml:space="preserve">샐마요과일５００Ｇ            </v>
          </cell>
          <cell r="C154">
            <v>2.4059200000000001</v>
          </cell>
          <cell r="D154">
            <v>3.0993600000000003</v>
          </cell>
          <cell r="E154">
            <v>2.9761599999999997</v>
          </cell>
        </row>
        <row r="155">
          <cell r="A155">
            <v>500437</v>
          </cell>
          <cell r="B155" t="str">
            <v xml:space="preserve">샐마요야채５００Ｇ            </v>
          </cell>
          <cell r="C155">
            <v>3.37744</v>
          </cell>
          <cell r="D155">
            <v>3.1046399999999998</v>
          </cell>
          <cell r="E155">
            <v>4.1395200000000001</v>
          </cell>
        </row>
        <row r="156">
          <cell r="A156">
            <v>500438</v>
          </cell>
          <cell r="B156" t="str">
            <v xml:space="preserve">샐마요머스타드５１０Ｇ        </v>
          </cell>
          <cell r="C156">
            <v>2.5766399999999998</v>
          </cell>
          <cell r="D156">
            <v>2.4921599999999997</v>
          </cell>
          <cell r="E156">
            <v>2.5344000000000002</v>
          </cell>
        </row>
        <row r="157">
          <cell r="A157">
            <v>500440</v>
          </cell>
          <cell r="B157" t="str">
            <v xml:space="preserve">마요５００케찹８００／이      </v>
          </cell>
          <cell r="C157">
            <v>5.84992</v>
          </cell>
          <cell r="D157">
            <v>5.5630800000000002</v>
          </cell>
          <cell r="E157">
            <v>6.2599799999999997</v>
          </cell>
        </row>
        <row r="158">
          <cell r="A158">
            <v>4010101</v>
          </cell>
          <cell r="B158" t="str">
            <v xml:space="preserve">마 요 네 즈（가）             </v>
          </cell>
          <cell r="C158">
            <v>23.10087</v>
          </cell>
          <cell r="D158">
            <v>25.13664</v>
          </cell>
          <cell r="E158">
            <v>29.17136</v>
          </cell>
        </row>
        <row r="159">
          <cell r="A159">
            <v>500107</v>
          </cell>
          <cell r="B159" t="str">
            <v>마요네즈３．２ＫＧ　　　　　　</v>
          </cell>
          <cell r="C159">
            <v>4.62</v>
          </cell>
          <cell r="D159">
            <v>5.2248000000000001</v>
          </cell>
          <cell r="E159">
            <v>5.4977999999999998</v>
          </cell>
        </row>
        <row r="160">
          <cell r="A160">
            <v>500250</v>
          </cell>
          <cell r="B160" t="str">
            <v>마요네즈１ＫＧ　　　　　　　　</v>
          </cell>
          <cell r="C160">
            <v>2.7216499999999999</v>
          </cell>
          <cell r="D160">
            <v>2.0111500000000002</v>
          </cell>
          <cell r="E160">
            <v>2.1546999999999996</v>
          </cell>
        </row>
        <row r="161">
          <cell r="A161">
            <v>4010102</v>
          </cell>
          <cell r="B161" t="str">
            <v xml:space="preserve">마 요 네 즈（업）             </v>
          </cell>
          <cell r="C161">
            <v>7.3416499999999996</v>
          </cell>
          <cell r="D161">
            <v>7.2359499999999999</v>
          </cell>
          <cell r="E161">
            <v>7.6524999999999999</v>
          </cell>
        </row>
        <row r="162">
          <cell r="A162">
            <v>4010100</v>
          </cell>
          <cell r="B162" t="str">
            <v xml:space="preserve">마  요  네  즈                </v>
          </cell>
          <cell r="C162">
            <v>30.442520000000002</v>
          </cell>
          <cell r="D162">
            <v>32.372590000000002</v>
          </cell>
          <cell r="E162">
            <v>36.823860000000003</v>
          </cell>
        </row>
        <row r="163">
          <cell r="A163">
            <v>502001</v>
          </cell>
          <cell r="B163" t="str">
            <v>쇠고기죽８５Ｇ　　　　　　　　</v>
          </cell>
          <cell r="C163">
            <v>2.0729600000000001</v>
          </cell>
          <cell r="D163">
            <v>2.0467200000000001</v>
          </cell>
          <cell r="E163">
            <v>2.5190399999999999</v>
          </cell>
        </row>
        <row r="164">
          <cell r="A164">
            <v>502002</v>
          </cell>
          <cell r="B164" t="str">
            <v>진미죽８５Ｇ　　　　　　　　　</v>
          </cell>
          <cell r="C164">
            <v>2.0729600000000001</v>
          </cell>
          <cell r="D164">
            <v>2.1254400000000002</v>
          </cell>
          <cell r="E164">
            <v>2.5708600000000001</v>
          </cell>
        </row>
        <row r="165">
          <cell r="A165">
            <v>4010201</v>
          </cell>
          <cell r="B165" t="str">
            <v xml:space="preserve">크 노 르  맛  죽              </v>
          </cell>
          <cell r="C165">
            <v>4.1459200000000003</v>
          </cell>
          <cell r="D165">
            <v>4.1721599999999999</v>
          </cell>
          <cell r="E165">
            <v>5.0898999999999992</v>
          </cell>
        </row>
        <row r="166">
          <cell r="A166">
            <v>4010200</v>
          </cell>
          <cell r="B166" t="str">
            <v xml:space="preserve">맛          죽                </v>
          </cell>
          <cell r="C166">
            <v>4.1459200000000003</v>
          </cell>
          <cell r="D166">
            <v>4.1721599999999999</v>
          </cell>
          <cell r="E166">
            <v>5.0898999999999992</v>
          </cell>
        </row>
        <row r="167">
          <cell r="A167">
            <v>503002</v>
          </cell>
          <cell r="B167" t="str">
            <v xml:space="preserve">양송이스프８０Ｇ              </v>
          </cell>
          <cell r="C167">
            <v>1.69712</v>
          </cell>
          <cell r="D167">
            <v>1.95024</v>
          </cell>
          <cell r="E167">
            <v>2.5747199999999997</v>
          </cell>
        </row>
        <row r="168">
          <cell r="A168">
            <v>503007</v>
          </cell>
          <cell r="B168" t="str">
            <v>쇠고기스프８０Ｇ　　　　　　　</v>
          </cell>
          <cell r="C168">
            <v>2.5459200000000002</v>
          </cell>
          <cell r="D168">
            <v>2.8172800000000002</v>
          </cell>
          <cell r="E168">
            <v>3.6142800000000004</v>
          </cell>
        </row>
        <row r="169">
          <cell r="A169">
            <v>503008</v>
          </cell>
          <cell r="B169" t="str">
            <v>옥수수스프８０Ｇ　　　　　　　</v>
          </cell>
          <cell r="C169">
            <v>1.0608</v>
          </cell>
          <cell r="D169">
            <v>1.3837600000000001</v>
          </cell>
          <cell r="E169">
            <v>1.8411999999999999</v>
          </cell>
        </row>
        <row r="170">
          <cell r="A170">
            <v>503011</v>
          </cell>
          <cell r="B170" t="str">
            <v>쇠고기스프３００Ｇ　　　　　　</v>
          </cell>
          <cell r="C170">
            <v>1.1382099999999999</v>
          </cell>
          <cell r="D170">
            <v>1.7834000000000001</v>
          </cell>
          <cell r="E170">
            <v>2.0482</v>
          </cell>
        </row>
        <row r="171">
          <cell r="A171">
            <v>503017</v>
          </cell>
          <cell r="B171" t="str">
            <v>쇠고기스프１ＫＧ　　　　　　　</v>
          </cell>
          <cell r="C171">
            <v>1.2603599999999999</v>
          </cell>
          <cell r="D171">
            <v>2.3943600000000003</v>
          </cell>
          <cell r="E171">
            <v>2.754</v>
          </cell>
        </row>
        <row r="172">
          <cell r="A172">
            <v>503060</v>
          </cell>
          <cell r="B172" t="str">
            <v>크림스프８０Ｇ　　　　　　　　</v>
          </cell>
          <cell r="C172">
            <v>3.6244000000000001</v>
          </cell>
          <cell r="D172">
            <v>4.5199999999999996</v>
          </cell>
          <cell r="E172">
            <v>5.7993600000000001</v>
          </cell>
        </row>
        <row r="173">
          <cell r="A173">
            <v>503065</v>
          </cell>
          <cell r="B173" t="str">
            <v>야채스프８０Ｇ　　　　　　　　</v>
          </cell>
          <cell r="C173">
            <v>1.768</v>
          </cell>
          <cell r="D173">
            <v>2.1644000000000001</v>
          </cell>
          <cell r="E173">
            <v>2.6167199999999999</v>
          </cell>
        </row>
        <row r="174">
          <cell r="A174">
            <v>503101</v>
          </cell>
          <cell r="B174" t="str">
            <v xml:space="preserve">신크림스프１ＫＧ　　　　　    </v>
          </cell>
          <cell r="C174">
            <v>3.2280300000000004</v>
          </cell>
          <cell r="D174">
            <v>4.1264099999999999</v>
          </cell>
          <cell r="E174">
            <v>5.2619399999999992</v>
          </cell>
        </row>
        <row r="175">
          <cell r="A175">
            <v>4010301</v>
          </cell>
          <cell r="B175" t="str">
            <v xml:space="preserve">스　　　　　　프              </v>
          </cell>
          <cell r="C175">
            <v>16.322839999999999</v>
          </cell>
          <cell r="D175">
            <v>21.139849999999999</v>
          </cell>
          <cell r="E175">
            <v>26.51042</v>
          </cell>
        </row>
        <row r="176">
          <cell r="A176">
            <v>4010300</v>
          </cell>
          <cell r="B176" t="str">
            <v xml:space="preserve">스          프                </v>
          </cell>
          <cell r="C176">
            <v>16.322839999999999</v>
          </cell>
          <cell r="D176">
            <v>21.139849999999999</v>
          </cell>
          <cell r="E176">
            <v>26.51042</v>
          </cell>
        </row>
        <row r="177">
          <cell r="A177">
            <v>505012</v>
          </cell>
          <cell r="B177" t="str">
            <v xml:space="preserve">토마토케찹１ＫＧ　　　　　    </v>
          </cell>
          <cell r="C177">
            <v>3.2864599999999999</v>
          </cell>
          <cell r="D177">
            <v>3.7814000000000001</v>
          </cell>
          <cell r="E177">
            <v>5.2910399999999997</v>
          </cell>
        </row>
        <row r="178">
          <cell r="A178">
            <v>505019</v>
          </cell>
          <cell r="B178" t="str">
            <v xml:space="preserve">토마토케찹８００Ｇ　　　　    </v>
          </cell>
          <cell r="C178">
            <v>6.6838199999999999</v>
          </cell>
          <cell r="D178">
            <v>8.5977000000000015</v>
          </cell>
          <cell r="E178">
            <v>10.344299999999999</v>
          </cell>
        </row>
        <row r="179">
          <cell r="A179">
            <v>505042</v>
          </cell>
          <cell r="B179" t="str">
            <v xml:space="preserve">토마토케찹５００Ｇ　　　　    </v>
          </cell>
          <cell r="C179">
            <v>3.3304</v>
          </cell>
          <cell r="D179">
            <v>4.6837200000000001</v>
          </cell>
          <cell r="E179">
            <v>6.0443999999999996</v>
          </cell>
        </row>
        <row r="180">
          <cell r="A180">
            <v>4010401</v>
          </cell>
          <cell r="B180" t="str">
            <v xml:space="preserve">케      찹 （가）             </v>
          </cell>
          <cell r="C180">
            <v>13.30068</v>
          </cell>
          <cell r="D180">
            <v>17.062819999999999</v>
          </cell>
          <cell r="E180">
            <v>21.679740000000002</v>
          </cell>
        </row>
        <row r="181">
          <cell r="A181">
            <v>505007</v>
          </cell>
          <cell r="B181" t="str">
            <v xml:space="preserve">토마토케찹３．３ＫＧ　　　　  </v>
          </cell>
          <cell r="C181">
            <v>3.6504000000000003</v>
          </cell>
          <cell r="D181">
            <v>3.5514000000000001</v>
          </cell>
          <cell r="E181">
            <v>4.0716000000000001</v>
          </cell>
        </row>
        <row r="182">
          <cell r="A182">
            <v>4010402</v>
          </cell>
          <cell r="B182" t="str">
            <v xml:space="preserve">케      찹 （업）             </v>
          </cell>
          <cell r="C182">
            <v>3.6504000000000003</v>
          </cell>
          <cell r="D182">
            <v>3.5514000000000001</v>
          </cell>
          <cell r="E182">
            <v>4.0716000000000001</v>
          </cell>
        </row>
        <row r="183">
          <cell r="A183">
            <v>4010400</v>
          </cell>
          <cell r="B183" t="str">
            <v xml:space="preserve">케          찹                </v>
          </cell>
          <cell r="C183">
            <v>16.951080000000001</v>
          </cell>
          <cell r="D183">
            <v>20.61422</v>
          </cell>
          <cell r="E183">
            <v>25.751339999999999</v>
          </cell>
        </row>
        <row r="184">
          <cell r="A184">
            <v>506003</v>
          </cell>
          <cell r="B184" t="str">
            <v xml:space="preserve">식물성마가린４００Ｇ          </v>
          </cell>
          <cell r="C184">
            <v>4.1123199999999995</v>
          </cell>
          <cell r="D184">
            <v>5.4808300000000001</v>
          </cell>
          <cell r="E184">
            <v>6.4828900000000003</v>
          </cell>
        </row>
        <row r="185">
          <cell r="A185">
            <v>4010501</v>
          </cell>
          <cell r="B185" t="str">
            <v xml:space="preserve">식물성  마아가린              </v>
          </cell>
          <cell r="C185">
            <v>4.1123199999999995</v>
          </cell>
          <cell r="D185">
            <v>5.4808300000000001</v>
          </cell>
          <cell r="E185">
            <v>6.4828900000000003</v>
          </cell>
        </row>
        <row r="186">
          <cell r="A186">
            <v>506018</v>
          </cell>
          <cell r="B186" t="str">
            <v xml:space="preserve">옥수수마가린４００Ｇ          </v>
          </cell>
          <cell r="C186">
            <v>4.7836800000000004</v>
          </cell>
          <cell r="D186">
            <v>6.0944399999999996</v>
          </cell>
          <cell r="E186">
            <v>7.5451199999999998</v>
          </cell>
        </row>
        <row r="187">
          <cell r="A187">
            <v>4010502</v>
          </cell>
          <cell r="B187" t="str">
            <v xml:space="preserve">옥수수  마아가린              </v>
          </cell>
          <cell r="C187">
            <v>4.7836800000000004</v>
          </cell>
          <cell r="D187">
            <v>6.0944399999999996</v>
          </cell>
          <cell r="E187">
            <v>7.5451199999999998</v>
          </cell>
        </row>
        <row r="188">
          <cell r="A188">
            <v>4010500</v>
          </cell>
          <cell r="B188" t="str">
            <v xml:space="preserve">마  아  가  린                </v>
          </cell>
          <cell r="C188">
            <v>8.8960000000000008</v>
          </cell>
          <cell r="D188">
            <v>11.57527</v>
          </cell>
          <cell r="E188">
            <v>14.02801</v>
          </cell>
        </row>
        <row r="189">
          <cell r="A189">
            <v>507006</v>
          </cell>
          <cell r="B189" t="str">
            <v>천드레싱５１５Ｇ　　　　　　　</v>
          </cell>
          <cell r="C189">
            <v>4.4132400000000001</v>
          </cell>
          <cell r="D189">
            <v>4.7662500000000003</v>
          </cell>
          <cell r="E189">
            <v>4.9421400000000002</v>
          </cell>
        </row>
        <row r="190">
          <cell r="A190">
            <v>4010601</v>
          </cell>
          <cell r="B190" t="str">
            <v xml:space="preserve">드  래  싱 （가）             </v>
          </cell>
          <cell r="C190">
            <v>4.4132400000000001</v>
          </cell>
          <cell r="D190">
            <v>4.7662500000000003</v>
          </cell>
          <cell r="E190">
            <v>4.9421400000000002</v>
          </cell>
        </row>
        <row r="191">
          <cell r="A191">
            <v>4010600</v>
          </cell>
          <cell r="B191" t="str">
            <v xml:space="preserve">드    레    싱                </v>
          </cell>
          <cell r="C191">
            <v>4.4132400000000001</v>
          </cell>
          <cell r="D191">
            <v>4.7662500000000003</v>
          </cell>
          <cell r="E191">
            <v>4.9421400000000002</v>
          </cell>
        </row>
        <row r="192">
          <cell r="A192">
            <v>508001</v>
          </cell>
          <cell r="B192" t="str">
            <v>본카레순한맛９０Ｇ　　　　　　</v>
          </cell>
          <cell r="C192">
            <v>0.55300000000000005</v>
          </cell>
          <cell r="D192">
            <v>0.66359999999999997</v>
          </cell>
          <cell r="E192">
            <v>0.90691999999999995</v>
          </cell>
        </row>
        <row r="193">
          <cell r="A193">
            <v>508002</v>
          </cell>
          <cell r="B193" t="str">
            <v>본카레중간맛９０Ｇ　　　　　　</v>
          </cell>
          <cell r="C193">
            <v>0.71804000000000001</v>
          </cell>
          <cell r="D193">
            <v>0.85075999999999996</v>
          </cell>
          <cell r="E193">
            <v>1.2769999999999999</v>
          </cell>
        </row>
        <row r="194">
          <cell r="A194">
            <v>508003</v>
          </cell>
          <cell r="B194" t="str">
            <v>본카레매운맛９０Ｇ　　　　　　</v>
          </cell>
          <cell r="C194">
            <v>0.61936000000000002</v>
          </cell>
          <cell r="D194">
            <v>0.7742</v>
          </cell>
          <cell r="E194">
            <v>1.1723599999999998</v>
          </cell>
        </row>
        <row r="195">
          <cell r="A195">
            <v>4010801</v>
          </cell>
          <cell r="B195" t="str">
            <v xml:space="preserve">카      레 （가）             </v>
          </cell>
          <cell r="C195">
            <v>1.8904000000000001</v>
          </cell>
          <cell r="D195">
            <v>2.2885599999999999</v>
          </cell>
          <cell r="E195">
            <v>3.3562800000000004</v>
          </cell>
        </row>
        <row r="196">
          <cell r="A196">
            <v>401433</v>
          </cell>
          <cell r="B196" t="str">
            <v xml:space="preserve">청정원카레중간맛１ＫＧ        </v>
          </cell>
          <cell r="C196">
            <v>0.84729999999999994</v>
          </cell>
          <cell r="D196">
            <v>1.3740000000000001</v>
          </cell>
          <cell r="E196">
            <v>2.29</v>
          </cell>
        </row>
        <row r="197">
          <cell r="A197">
            <v>4010802</v>
          </cell>
          <cell r="B197" t="str">
            <v xml:space="preserve">카      레 （업）             </v>
          </cell>
          <cell r="C197">
            <v>0.84729999999999994</v>
          </cell>
          <cell r="D197">
            <v>1.3740000000000001</v>
          </cell>
          <cell r="E197">
            <v>2.29</v>
          </cell>
        </row>
        <row r="198">
          <cell r="A198">
            <v>508201</v>
          </cell>
          <cell r="B198" t="str">
            <v>하이라이스９０Ｇ　　　　　　　</v>
          </cell>
          <cell r="C198">
            <v>1.5808</v>
          </cell>
          <cell r="D198">
            <v>1.7472000000000001</v>
          </cell>
          <cell r="E198">
            <v>2.1840000000000002</v>
          </cell>
        </row>
        <row r="199">
          <cell r="A199">
            <v>4010804</v>
          </cell>
          <cell r="B199" t="str">
            <v xml:space="preserve">하  이  라 이 스              </v>
          </cell>
          <cell r="C199">
            <v>1.5808</v>
          </cell>
          <cell r="D199">
            <v>1.7472000000000001</v>
          </cell>
          <cell r="E199">
            <v>2.1840000000000002</v>
          </cell>
        </row>
        <row r="200">
          <cell r="A200">
            <v>4010800</v>
          </cell>
          <cell r="B200" t="str">
            <v xml:space="preserve">카          레                </v>
          </cell>
          <cell r="C200">
            <v>4.3185000000000002</v>
          </cell>
          <cell r="D200">
            <v>5.4097600000000003</v>
          </cell>
          <cell r="E200">
            <v>7.8302800000000001</v>
          </cell>
        </row>
        <row r="201">
          <cell r="A201">
            <v>508624</v>
          </cell>
          <cell r="B201" t="str">
            <v>돈까스소스４００Ｇ　　　　　　</v>
          </cell>
          <cell r="C201">
            <v>7.1877599999999999</v>
          </cell>
          <cell r="D201">
            <v>8.9779999999999998</v>
          </cell>
          <cell r="E201">
            <v>10.85065</v>
          </cell>
        </row>
        <row r="202">
          <cell r="A202">
            <v>508630</v>
          </cell>
          <cell r="B202" t="str">
            <v>스테이크소스４００Ｇ　　　　　</v>
          </cell>
          <cell r="C202">
            <v>2.1305999999999998</v>
          </cell>
          <cell r="D202">
            <v>2.8448200000000003</v>
          </cell>
          <cell r="E202">
            <v>3.5288900000000001</v>
          </cell>
        </row>
        <row r="203">
          <cell r="A203">
            <v>4011701</v>
          </cell>
          <cell r="B203" t="str">
            <v xml:space="preserve">쏘     오     스              </v>
          </cell>
          <cell r="C203">
            <v>9.3183600000000002</v>
          </cell>
          <cell r="D203">
            <v>11.82282</v>
          </cell>
          <cell r="E203">
            <v>14.37954</v>
          </cell>
        </row>
        <row r="204">
          <cell r="A204">
            <v>4011700</v>
          </cell>
          <cell r="B204" t="str">
            <v xml:space="preserve">쏘          스                </v>
          </cell>
          <cell r="C204">
            <v>9.3183600000000002</v>
          </cell>
          <cell r="D204">
            <v>11.82282</v>
          </cell>
          <cell r="E204">
            <v>14.37954</v>
          </cell>
        </row>
        <row r="205">
          <cell r="A205">
            <v>508641</v>
          </cell>
          <cell r="B205" t="str">
            <v xml:space="preserve">보크라이스쇠고기２４Ｇ        </v>
          </cell>
          <cell r="C205">
            <v>3.8016000000000001</v>
          </cell>
          <cell r="D205">
            <v>3.9455999999999998</v>
          </cell>
          <cell r="E205">
            <v>4.4640000000000004</v>
          </cell>
        </row>
        <row r="206">
          <cell r="A206">
            <v>508642</v>
          </cell>
          <cell r="B206" t="str">
            <v xml:space="preserve">보크라이스새우２４Ｇ          </v>
          </cell>
          <cell r="C206">
            <v>3.3984000000000001</v>
          </cell>
          <cell r="D206">
            <v>3.2831999999999999</v>
          </cell>
          <cell r="E206">
            <v>3.7440000000000002</v>
          </cell>
        </row>
        <row r="207">
          <cell r="A207">
            <v>508643</v>
          </cell>
          <cell r="B207" t="str">
            <v xml:space="preserve">보크라이스야채２４Ｇ          </v>
          </cell>
          <cell r="C207">
            <v>2.16</v>
          </cell>
          <cell r="D207">
            <v>2.3328000000000002</v>
          </cell>
          <cell r="E207">
            <v>2.9088000000000003</v>
          </cell>
        </row>
        <row r="208">
          <cell r="A208">
            <v>4012501</v>
          </cell>
          <cell r="B208" t="str">
            <v xml:space="preserve">보  크  라 이 스              </v>
          </cell>
          <cell r="C208">
            <v>9.36</v>
          </cell>
          <cell r="D208">
            <v>9.5616000000000003</v>
          </cell>
          <cell r="E208">
            <v>11.1168</v>
          </cell>
        </row>
        <row r="209">
          <cell r="A209">
            <v>4012500</v>
          </cell>
          <cell r="B209" t="str">
            <v xml:space="preserve">라이스  메이트                </v>
          </cell>
          <cell r="C209">
            <v>9.36</v>
          </cell>
          <cell r="D209">
            <v>9.5616000000000003</v>
          </cell>
          <cell r="E209">
            <v>11.1168</v>
          </cell>
        </row>
        <row r="210">
          <cell r="A210">
            <v>4010000</v>
          </cell>
          <cell r="B210" t="str">
            <v xml:space="preserve">서 구 식 품 류                </v>
          </cell>
          <cell r="C210">
            <v>104.16846000000001</v>
          </cell>
          <cell r="D210">
            <v>121.43450999999999</v>
          </cell>
          <cell r="E210">
            <v>146.47229999999999</v>
          </cell>
        </row>
        <row r="211">
          <cell r="A211">
            <v>107016</v>
          </cell>
          <cell r="B211" t="str">
            <v>멸치액젓골드１ＫＧ　　　　　　</v>
          </cell>
          <cell r="C211">
            <v>3.8251200000000001</v>
          </cell>
          <cell r="D211">
            <v>6.9770399999999997</v>
          </cell>
          <cell r="E211">
            <v>2.96116</v>
          </cell>
        </row>
        <row r="212">
          <cell r="A212">
            <v>4040301</v>
          </cell>
          <cell r="B212" t="str">
            <v xml:space="preserve">멸 치 액 젓 골드              </v>
          </cell>
          <cell r="C212">
            <v>3.8251200000000001</v>
          </cell>
          <cell r="D212">
            <v>6.9770399999999997</v>
          </cell>
          <cell r="E212">
            <v>2.96116</v>
          </cell>
        </row>
        <row r="213">
          <cell r="A213">
            <v>200004</v>
          </cell>
          <cell r="B213" t="str">
            <v xml:space="preserve">액체육젓５００Ｇ　　　　      </v>
          </cell>
          <cell r="C213">
            <v>1.6402399999999999</v>
          </cell>
          <cell r="D213">
            <v>2.36408</v>
          </cell>
          <cell r="E213">
            <v>1.0567599999999999</v>
          </cell>
        </row>
        <row r="214">
          <cell r="A214">
            <v>200005</v>
          </cell>
          <cell r="B214" t="str">
            <v xml:space="preserve">액체육젓１ＫＧ　　　　　      </v>
          </cell>
          <cell r="C214">
            <v>0.56232000000000004</v>
          </cell>
          <cell r="D214">
            <v>1.2268800000000002</v>
          </cell>
          <cell r="E214">
            <v>1.2013199999999999</v>
          </cell>
        </row>
        <row r="215">
          <cell r="A215">
            <v>4040307</v>
          </cell>
          <cell r="B215" t="str">
            <v xml:space="preserve">액   체  육   젓              </v>
          </cell>
          <cell r="C215">
            <v>2.2025600000000001</v>
          </cell>
          <cell r="D215">
            <v>3.5909599999999999</v>
          </cell>
          <cell r="E215">
            <v>2.2580800000000001</v>
          </cell>
        </row>
        <row r="216">
          <cell r="A216">
            <v>200103</v>
          </cell>
          <cell r="B216" t="str">
            <v>멸치액젓１ＫＧ　　　　　　　　</v>
          </cell>
          <cell r="C216">
            <v>2.1050399999999998</v>
          </cell>
          <cell r="D216">
            <v>3.9234</v>
          </cell>
          <cell r="E216">
            <v>1.6083699999999999</v>
          </cell>
        </row>
        <row r="217">
          <cell r="A217">
            <v>200104</v>
          </cell>
          <cell r="B217" t="str">
            <v>멸치액젓３ＫＧ　　　　　　　　</v>
          </cell>
          <cell r="C217">
            <v>6.2418000000000005</v>
          </cell>
          <cell r="D217">
            <v>18.473400000000002</v>
          </cell>
          <cell r="E217">
            <v>6.5970000000000004</v>
          </cell>
        </row>
        <row r="218">
          <cell r="A218">
            <v>4040309</v>
          </cell>
          <cell r="B218" t="str">
            <v xml:space="preserve">멸   치  액   젓              </v>
          </cell>
          <cell r="C218">
            <v>8.3468400000000003</v>
          </cell>
          <cell r="D218">
            <v>22.396799999999999</v>
          </cell>
          <cell r="E218">
            <v>8.2053700000000003</v>
          </cell>
        </row>
        <row r="219">
          <cell r="A219">
            <v>200202</v>
          </cell>
          <cell r="B219" t="str">
            <v>까나리액젓５００Ｇ　　　　　　</v>
          </cell>
          <cell r="C219">
            <v>5.1175500000000005</v>
          </cell>
          <cell r="D219">
            <v>6.40754</v>
          </cell>
          <cell r="E219">
            <v>3.0372499999999998</v>
          </cell>
        </row>
        <row r="220">
          <cell r="A220">
            <v>200203</v>
          </cell>
          <cell r="B220" t="str">
            <v>까나리액젓１ＫＧ　　　　　　　</v>
          </cell>
          <cell r="C220">
            <v>7.6504300000000001</v>
          </cell>
          <cell r="D220">
            <v>11.331290000000001</v>
          </cell>
          <cell r="E220">
            <v>5.7034099999999999</v>
          </cell>
        </row>
        <row r="221">
          <cell r="A221">
            <v>200204</v>
          </cell>
          <cell r="B221" t="str">
            <v>까나리액젓３ＫＧ　　　　　　　</v>
          </cell>
          <cell r="C221">
            <v>9.9713999999999992</v>
          </cell>
          <cell r="D221">
            <v>60.757680000000001</v>
          </cell>
          <cell r="E221">
            <v>14.3194</v>
          </cell>
        </row>
        <row r="222">
          <cell r="A222">
            <v>4040311</v>
          </cell>
          <cell r="B222" t="str">
            <v xml:space="preserve">까  나  리 액 젓              </v>
          </cell>
          <cell r="C222">
            <v>22.73939</v>
          </cell>
          <cell r="D222">
            <v>78.496510000000001</v>
          </cell>
          <cell r="E222">
            <v>23.06006</v>
          </cell>
        </row>
        <row r="223">
          <cell r="A223">
            <v>4040300</v>
          </cell>
          <cell r="B223" t="str">
            <v xml:space="preserve">액          젓                </v>
          </cell>
          <cell r="C223">
            <v>37.113910000000004</v>
          </cell>
          <cell r="D223">
            <v>111.46131</v>
          </cell>
          <cell r="E223">
            <v>36.484670000000001</v>
          </cell>
        </row>
        <row r="224">
          <cell r="A224">
            <v>108055</v>
          </cell>
          <cell r="B224" t="str">
            <v xml:space="preserve">０１청정고급김세트            </v>
          </cell>
          <cell r="C224">
            <v>0</v>
          </cell>
          <cell r="D224">
            <v>0</v>
          </cell>
          <cell r="E224">
            <v>0</v>
          </cell>
        </row>
        <row r="225">
          <cell r="A225">
            <v>4041921</v>
          </cell>
          <cell r="B225" t="str">
            <v xml:space="preserve">０１  김  세  트              </v>
          </cell>
          <cell r="C225">
            <v>0</v>
          </cell>
          <cell r="D225">
            <v>0</v>
          </cell>
          <cell r="E225">
            <v>0</v>
          </cell>
        </row>
        <row r="226">
          <cell r="A226">
            <v>4041900</v>
          </cell>
          <cell r="B226" t="str">
            <v xml:space="preserve">김    세    트                </v>
          </cell>
          <cell r="C226">
            <v>0</v>
          </cell>
          <cell r="D226">
            <v>0</v>
          </cell>
          <cell r="E226">
            <v>0</v>
          </cell>
        </row>
        <row r="227">
          <cell r="A227">
            <v>105303</v>
          </cell>
          <cell r="B227" t="str">
            <v xml:space="preserve">겨자분２２０Ｇ                </v>
          </cell>
          <cell r="C227">
            <v>0.60824999999999996</v>
          </cell>
          <cell r="D227">
            <v>0.70050000000000001</v>
          </cell>
          <cell r="E227">
            <v>0.93525000000000003</v>
          </cell>
        </row>
        <row r="228">
          <cell r="A228">
            <v>4044001</v>
          </cell>
          <cell r="B228" t="str">
            <v xml:space="preserve">겨     자     분              </v>
          </cell>
          <cell r="C228">
            <v>0.60824999999999996</v>
          </cell>
          <cell r="D228">
            <v>0.70050000000000001</v>
          </cell>
          <cell r="E228">
            <v>0.93525000000000003</v>
          </cell>
        </row>
        <row r="229">
          <cell r="A229">
            <v>105313</v>
          </cell>
          <cell r="B229" t="str">
            <v xml:space="preserve">연겨자１１０Ｇ                </v>
          </cell>
          <cell r="C229">
            <v>2.8060800000000001</v>
          </cell>
          <cell r="D229">
            <v>2.7350400000000001</v>
          </cell>
          <cell r="E229">
            <v>3.9072</v>
          </cell>
        </row>
        <row r="230">
          <cell r="A230">
            <v>4044003</v>
          </cell>
          <cell r="B230" t="str">
            <v xml:space="preserve">연     겨     자              </v>
          </cell>
          <cell r="C230">
            <v>2.8060800000000001</v>
          </cell>
          <cell r="D230">
            <v>2.7350400000000001</v>
          </cell>
          <cell r="E230">
            <v>3.9072</v>
          </cell>
        </row>
        <row r="231">
          <cell r="A231">
            <v>4044000</v>
          </cell>
          <cell r="B231" t="str">
            <v xml:space="preserve">겨          자                </v>
          </cell>
          <cell r="C231">
            <v>3.4143300000000001</v>
          </cell>
          <cell r="D231">
            <v>3.43554</v>
          </cell>
          <cell r="E231">
            <v>4.8424499999999995</v>
          </cell>
        </row>
        <row r="232">
          <cell r="A232">
            <v>105323</v>
          </cell>
          <cell r="B232" t="str">
            <v xml:space="preserve">와사비분２２０Ｇ              </v>
          </cell>
          <cell r="C232">
            <v>1.1232</v>
          </cell>
          <cell r="D232">
            <v>1.34667</v>
          </cell>
          <cell r="E232">
            <v>1.56897</v>
          </cell>
        </row>
        <row r="233">
          <cell r="A233">
            <v>4045001</v>
          </cell>
          <cell r="B233" t="str">
            <v xml:space="preserve">와   사  비   분              </v>
          </cell>
          <cell r="C233">
            <v>1.1232</v>
          </cell>
          <cell r="D233">
            <v>1.34667</v>
          </cell>
          <cell r="E233">
            <v>1.56897</v>
          </cell>
        </row>
        <row r="234">
          <cell r="A234">
            <v>105333</v>
          </cell>
          <cell r="B234" t="str">
            <v xml:space="preserve">연와사비１１０Ｇ              </v>
          </cell>
          <cell r="C234">
            <v>4.9728000000000003</v>
          </cell>
          <cell r="D234">
            <v>5.5751599999999994</v>
          </cell>
          <cell r="E234">
            <v>7.4222000000000001</v>
          </cell>
        </row>
        <row r="235">
          <cell r="A235">
            <v>4045003</v>
          </cell>
          <cell r="B235" t="str">
            <v xml:space="preserve">연   와  사   비              </v>
          </cell>
          <cell r="C235">
            <v>4.9728000000000003</v>
          </cell>
          <cell r="D235">
            <v>5.5751599999999994</v>
          </cell>
          <cell r="E235">
            <v>7.4222000000000001</v>
          </cell>
        </row>
        <row r="236">
          <cell r="A236">
            <v>4045000</v>
          </cell>
          <cell r="B236" t="str">
            <v xml:space="preserve">와    사    비                </v>
          </cell>
          <cell r="C236">
            <v>6.0960000000000001</v>
          </cell>
          <cell r="D236">
            <v>6.9218299999999999</v>
          </cell>
          <cell r="E236">
            <v>8.9911700000000003</v>
          </cell>
        </row>
        <row r="237">
          <cell r="A237">
            <v>4040000</v>
          </cell>
          <cell r="B237" t="str">
            <v xml:space="preserve">농  수  산  류                </v>
          </cell>
          <cell r="C237">
            <v>46.62424</v>
          </cell>
          <cell r="D237">
            <v>121.81867999999999</v>
          </cell>
          <cell r="E237">
            <v>50.318289999999998</v>
          </cell>
        </row>
        <row r="238">
          <cell r="A238">
            <v>103704</v>
          </cell>
          <cell r="B238" t="str">
            <v>불고기양념２５０Ｇ　　　　　　</v>
          </cell>
          <cell r="C238">
            <v>2.3679999999999999</v>
          </cell>
          <cell r="D238">
            <v>2.125</v>
          </cell>
          <cell r="E238">
            <v>2.4391500000000002</v>
          </cell>
        </row>
        <row r="239">
          <cell r="A239">
            <v>103705</v>
          </cell>
          <cell r="B239" t="str">
            <v>불고기양념５００Ｇ　　　　　　</v>
          </cell>
          <cell r="C239">
            <v>3.5677500000000002</v>
          </cell>
          <cell r="D239">
            <v>3.5863499999999999</v>
          </cell>
          <cell r="E239">
            <v>4.2658500000000004</v>
          </cell>
        </row>
        <row r="240">
          <cell r="A240">
            <v>4060101</v>
          </cell>
          <cell r="B240" t="str">
            <v xml:space="preserve">불  고  기 양 념              </v>
          </cell>
          <cell r="C240">
            <v>5.9357499999999996</v>
          </cell>
          <cell r="D240">
            <v>5.7113500000000004</v>
          </cell>
          <cell r="E240">
            <v>6.7050000000000001</v>
          </cell>
        </row>
        <row r="241">
          <cell r="A241">
            <v>103111</v>
          </cell>
          <cell r="B241" t="str">
            <v>갈비양념２４０Ｇ　　　　　　　</v>
          </cell>
          <cell r="C241">
            <v>2.6850500000000004</v>
          </cell>
          <cell r="D241">
            <v>2.1970000000000001</v>
          </cell>
          <cell r="E241">
            <v>2.7160000000000002</v>
          </cell>
        </row>
        <row r="242">
          <cell r="A242">
            <v>103115</v>
          </cell>
          <cell r="B242" t="str">
            <v xml:space="preserve">갈비양념４８０Ｇ　　　        </v>
          </cell>
          <cell r="C242">
            <v>5.7021000000000006</v>
          </cell>
          <cell r="D242">
            <v>5.0766</v>
          </cell>
          <cell r="E242">
            <v>7.1840999999999999</v>
          </cell>
        </row>
        <row r="243">
          <cell r="A243">
            <v>103117</v>
          </cell>
          <cell r="B243" t="str">
            <v xml:space="preserve">숯불갈비양념４８０Ｇ          </v>
          </cell>
          <cell r="C243">
            <v>1.4092499999999999</v>
          </cell>
          <cell r="D243">
            <v>1.1794500000000001</v>
          </cell>
          <cell r="E243">
            <v>1.5505499999999999</v>
          </cell>
        </row>
        <row r="244">
          <cell r="A244">
            <v>4060105</v>
          </cell>
          <cell r="B244" t="str">
            <v xml:space="preserve">갈      비 양 념              </v>
          </cell>
          <cell r="C244">
            <v>9.7964000000000002</v>
          </cell>
          <cell r="D244">
            <v>8.4530499999999993</v>
          </cell>
          <cell r="E244">
            <v>11.45065</v>
          </cell>
        </row>
        <row r="245">
          <cell r="A245">
            <v>103122</v>
          </cell>
          <cell r="B245" t="str">
            <v>돼지갈비양념４８０Ｇ　　　　　</v>
          </cell>
          <cell r="C245">
            <v>3.7156500000000001</v>
          </cell>
          <cell r="D245">
            <v>3.3148499999999999</v>
          </cell>
          <cell r="E245">
            <v>4.6297499999999996</v>
          </cell>
        </row>
        <row r="246">
          <cell r="A246">
            <v>4060113</v>
          </cell>
          <cell r="B246" t="str">
            <v xml:space="preserve">돼 지 갈 비 양념              </v>
          </cell>
          <cell r="C246">
            <v>3.7156500000000001</v>
          </cell>
          <cell r="D246">
            <v>3.3148499999999999</v>
          </cell>
          <cell r="E246">
            <v>4.6297499999999996</v>
          </cell>
        </row>
        <row r="247">
          <cell r="A247">
            <v>4060100</v>
          </cell>
          <cell r="B247" t="str">
            <v xml:space="preserve">양    념    장                </v>
          </cell>
          <cell r="C247">
            <v>19.447800000000001</v>
          </cell>
          <cell r="D247">
            <v>17.47925</v>
          </cell>
          <cell r="E247">
            <v>22.785400000000003</v>
          </cell>
        </row>
        <row r="248">
          <cell r="A248">
            <v>103503</v>
          </cell>
          <cell r="B248" t="str">
            <v>미정１．８Ｌ　　　　　　　　　</v>
          </cell>
          <cell r="C248">
            <v>1.39672</v>
          </cell>
          <cell r="D248">
            <v>2.0257800000000001</v>
          </cell>
          <cell r="E248">
            <v>2.3776299999999999</v>
          </cell>
        </row>
        <row r="249">
          <cell r="A249">
            <v>103506</v>
          </cell>
          <cell r="B249" t="str">
            <v>미정４１０ＭＬ　　　　　　　　</v>
          </cell>
          <cell r="C249">
            <v>2.5928400000000003</v>
          </cell>
          <cell r="D249">
            <v>2.84022</v>
          </cell>
          <cell r="E249">
            <v>2.9672299999999998</v>
          </cell>
        </row>
        <row r="250">
          <cell r="A250">
            <v>4060301</v>
          </cell>
          <cell r="B250" t="str">
            <v xml:space="preserve">미            정              </v>
          </cell>
          <cell r="C250">
            <v>3.98956</v>
          </cell>
          <cell r="D250">
            <v>4.86599</v>
          </cell>
          <cell r="E250">
            <v>5.3448599999999997</v>
          </cell>
        </row>
        <row r="251">
          <cell r="A251">
            <v>4060300</v>
          </cell>
          <cell r="B251" t="str">
            <v xml:space="preserve">맛　        술                </v>
          </cell>
          <cell r="C251">
            <v>3.98956</v>
          </cell>
          <cell r="D251">
            <v>4.86599</v>
          </cell>
          <cell r="E251">
            <v>5.3448599999999997</v>
          </cell>
        </row>
        <row r="252">
          <cell r="A252">
            <v>4060000</v>
          </cell>
          <cell r="B252" t="str">
            <v xml:space="preserve">액 체 양 념 류                </v>
          </cell>
          <cell r="C252">
            <v>23.437360000000002</v>
          </cell>
          <cell r="D252">
            <v>22.34524</v>
          </cell>
          <cell r="E252">
            <v>28.13026</v>
          </cell>
        </row>
        <row r="253">
          <cell r="A253">
            <v>718206</v>
          </cell>
          <cell r="B253" t="str">
            <v>하이포크팜３４０Ｇ　　　　　　</v>
          </cell>
          <cell r="C253">
            <v>1.3320000000000001</v>
          </cell>
          <cell r="D253">
            <v>-4.4400000000000002E-2</v>
          </cell>
          <cell r="E253">
            <v>0</v>
          </cell>
        </row>
        <row r="254">
          <cell r="A254">
            <v>718207</v>
          </cell>
          <cell r="B254" t="str">
            <v>하이포크팜２００Ｇ　　　　　　</v>
          </cell>
          <cell r="C254">
            <v>5.2737499999999997</v>
          </cell>
          <cell r="D254">
            <v>-1.25E-3</v>
          </cell>
          <cell r="E254">
            <v>-9.9750000000000005E-2</v>
          </cell>
        </row>
        <row r="255">
          <cell r="A255">
            <v>718208</v>
          </cell>
          <cell r="B255" t="str">
            <v xml:space="preserve">Ｐ３하이포크팜２００Ｇ        </v>
          </cell>
          <cell r="C255">
            <v>7.6053599999999992</v>
          </cell>
          <cell r="D255">
            <v>57.5505</v>
          </cell>
          <cell r="E255">
            <v>29.812860000000001</v>
          </cell>
        </row>
        <row r="256">
          <cell r="A256">
            <v>718209</v>
          </cell>
          <cell r="B256" t="str">
            <v xml:space="preserve">Ｐ３하이포크팜３４０Ｇ        </v>
          </cell>
          <cell r="C256">
            <v>93.465000000000003</v>
          </cell>
          <cell r="D256">
            <v>13.760459999999998</v>
          </cell>
          <cell r="E256">
            <v>6.5244600000000004</v>
          </cell>
        </row>
        <row r="257">
          <cell r="A257">
            <v>4080101</v>
          </cell>
          <cell r="B257" t="str">
            <v xml:space="preserve">하 이  포 크  팜              </v>
          </cell>
          <cell r="C257">
            <v>107.67610999999999</v>
          </cell>
          <cell r="D257">
            <v>71.265309999999999</v>
          </cell>
          <cell r="E257">
            <v>36.237569999999998</v>
          </cell>
        </row>
        <row r="258">
          <cell r="A258">
            <v>718351</v>
          </cell>
          <cell r="B258" t="str">
            <v>하이포크런천미트２００Ｇ　　　</v>
          </cell>
          <cell r="C258">
            <v>0</v>
          </cell>
          <cell r="D258">
            <v>0</v>
          </cell>
          <cell r="E258">
            <v>0</v>
          </cell>
        </row>
        <row r="259">
          <cell r="A259">
            <v>4080103</v>
          </cell>
          <cell r="B259" t="str">
            <v xml:space="preserve">런   천　미   트              </v>
          </cell>
          <cell r="C259">
            <v>0</v>
          </cell>
          <cell r="D259">
            <v>0</v>
          </cell>
          <cell r="E259">
            <v>0</v>
          </cell>
        </row>
        <row r="260">
          <cell r="A260">
            <v>4080100</v>
          </cell>
          <cell r="B260" t="str">
            <v xml:space="preserve">육  가  공  캔                </v>
          </cell>
          <cell r="C260">
            <v>107.67610999999999</v>
          </cell>
          <cell r="D260">
            <v>71.265309999999999</v>
          </cell>
          <cell r="E260">
            <v>36.237569999999998</v>
          </cell>
        </row>
        <row r="261">
          <cell r="A261">
            <v>718577</v>
          </cell>
          <cell r="B261" t="str">
            <v xml:space="preserve">０１하이포크　Ｅ－１호        </v>
          </cell>
          <cell r="C261">
            <v>-0.16600000000000001</v>
          </cell>
          <cell r="D261">
            <v>0</v>
          </cell>
          <cell r="E261">
            <v>0</v>
          </cell>
        </row>
        <row r="262">
          <cell r="A262">
            <v>718578</v>
          </cell>
          <cell r="B262" t="str">
            <v xml:space="preserve">０１하이포크　Ｅ－２호        </v>
          </cell>
          <cell r="C262">
            <v>-8.8200000000000001E-2</v>
          </cell>
          <cell r="D262">
            <v>0</v>
          </cell>
          <cell r="E262">
            <v>0</v>
          </cell>
        </row>
        <row r="263">
          <cell r="A263">
            <v>4080523</v>
          </cell>
          <cell r="B263" t="str">
            <v xml:space="preserve">０１  육가공세트              </v>
          </cell>
          <cell r="C263">
            <v>-0.25419999999999998</v>
          </cell>
          <cell r="D263">
            <v>0</v>
          </cell>
          <cell r="E263">
            <v>0</v>
          </cell>
        </row>
        <row r="264">
          <cell r="A264">
            <v>4080500</v>
          </cell>
          <cell r="B264" t="str">
            <v xml:space="preserve">육 가 공 세 트                </v>
          </cell>
          <cell r="C264">
            <v>-0.25419999999999998</v>
          </cell>
          <cell r="D264">
            <v>0</v>
          </cell>
          <cell r="E264">
            <v>0</v>
          </cell>
        </row>
        <row r="265">
          <cell r="A265">
            <v>4080000</v>
          </cell>
          <cell r="B265" t="str">
            <v xml:space="preserve">육  가  공  류                </v>
          </cell>
          <cell r="C265">
            <v>107.42191</v>
          </cell>
          <cell r="D265">
            <v>71.265309999999999</v>
          </cell>
          <cell r="E265">
            <v>36.237569999999998</v>
          </cell>
        </row>
        <row r="266">
          <cell r="A266">
            <v>751337</v>
          </cell>
          <cell r="B266" t="str">
            <v>Ｐ１블마블３００Ｇ원두　　　　</v>
          </cell>
          <cell r="C266">
            <v>0</v>
          </cell>
          <cell r="D266">
            <v>-9.6840000000000009E-2</v>
          </cell>
          <cell r="E266">
            <v>0</v>
          </cell>
        </row>
        <row r="267">
          <cell r="A267">
            <v>4090101</v>
          </cell>
          <cell r="B267" t="str">
            <v xml:space="preserve">원 두 Ｗ／Ｂ(업)              </v>
          </cell>
          <cell r="C267">
            <v>0</v>
          </cell>
          <cell r="D267">
            <v>-9.6840000000000009E-2</v>
          </cell>
          <cell r="E267">
            <v>0</v>
          </cell>
        </row>
        <row r="268">
          <cell r="A268">
            <v>755028</v>
          </cell>
          <cell r="B268" t="str">
            <v>모카오리지날Ｂ４００Ｇ　　　　</v>
          </cell>
          <cell r="C268">
            <v>5.94224</v>
          </cell>
          <cell r="D268">
            <v>7.6025</v>
          </cell>
          <cell r="E268">
            <v>7.3646199999999995</v>
          </cell>
        </row>
        <row r="269">
          <cell r="A269">
            <v>755502</v>
          </cell>
          <cell r="B269" t="str">
            <v>Ｐ１블마블분쇄３００Ｇ　　　　</v>
          </cell>
          <cell r="C269">
            <v>7.3108599999999999</v>
          </cell>
          <cell r="D269">
            <v>7.7920400000000001</v>
          </cell>
          <cell r="E269">
            <v>7.4428000000000001</v>
          </cell>
        </row>
        <row r="270">
          <cell r="A270">
            <v>4090103</v>
          </cell>
          <cell r="B270" t="str">
            <v xml:space="preserve">원 두 분 쇄 (업)              </v>
          </cell>
          <cell r="C270">
            <v>13.253110000000001</v>
          </cell>
          <cell r="D270">
            <v>15.394549999999999</v>
          </cell>
          <cell r="E270">
            <v>14.80742</v>
          </cell>
        </row>
        <row r="271">
          <cell r="A271">
            <v>756169</v>
          </cell>
          <cell r="B271" t="str">
            <v>Ｐ１헤즐넛분쇄２５０Ｇ　　　　</v>
          </cell>
          <cell r="C271">
            <v>28.366799999999998</v>
          </cell>
          <cell r="D271">
            <v>17.623200000000001</v>
          </cell>
          <cell r="E271">
            <v>18.026400000000002</v>
          </cell>
        </row>
        <row r="272">
          <cell r="A272">
            <v>4090107</v>
          </cell>
          <cell r="B272" t="str">
            <v xml:space="preserve">원 두   향 커 피              </v>
          </cell>
          <cell r="C272">
            <v>28.366799999999998</v>
          </cell>
          <cell r="D272">
            <v>17.623200000000001</v>
          </cell>
          <cell r="E272">
            <v>18.026400000000002</v>
          </cell>
        </row>
        <row r="273">
          <cell r="A273">
            <v>4090100</v>
          </cell>
          <cell r="B273" t="str">
            <v xml:space="preserve">원  두  커  피                </v>
          </cell>
          <cell r="C273">
            <v>41.619910000000004</v>
          </cell>
          <cell r="D273">
            <v>32.920910000000006</v>
          </cell>
          <cell r="E273">
            <v>32.833820000000003</v>
          </cell>
        </row>
        <row r="274">
          <cell r="A274">
            <v>750401</v>
          </cell>
          <cell r="B274" t="str">
            <v xml:space="preserve">로즈버드믹스２４０Ｇ          </v>
          </cell>
          <cell r="C274">
            <v>17.44462</v>
          </cell>
          <cell r="D274">
            <v>14.45041</v>
          </cell>
          <cell r="E274">
            <v>10.04152</v>
          </cell>
        </row>
        <row r="275">
          <cell r="A275">
            <v>752017</v>
          </cell>
          <cell r="B275" t="str">
            <v xml:space="preserve">헤즐럿향믹스２４０Ｇ          </v>
          </cell>
          <cell r="C275">
            <v>10.760999999999999</v>
          </cell>
          <cell r="D275">
            <v>17.882999999999999</v>
          </cell>
          <cell r="E275">
            <v>10.653</v>
          </cell>
        </row>
        <row r="276">
          <cell r="A276">
            <v>4091101</v>
          </cell>
          <cell r="B276" t="str">
            <v xml:space="preserve">Ｓ ／ Ｄ 믹   스              </v>
          </cell>
          <cell r="C276">
            <v>28.20562</v>
          </cell>
          <cell r="D276">
            <v>32.333410000000001</v>
          </cell>
          <cell r="E276">
            <v>20.694520000000001</v>
          </cell>
        </row>
        <row r="277">
          <cell r="A277">
            <v>750431</v>
          </cell>
          <cell r="B277" t="str">
            <v>콜롬비아커피믹스２４０Ｇ　　　</v>
          </cell>
          <cell r="C277">
            <v>1.05504</v>
          </cell>
          <cell r="D277">
            <v>1.6171</v>
          </cell>
          <cell r="E277">
            <v>1.12883</v>
          </cell>
        </row>
        <row r="278">
          <cell r="A278">
            <v>4091103</v>
          </cell>
          <cell r="B278" t="str">
            <v xml:space="preserve">Ｆ ／ Ｄ 믹   스              </v>
          </cell>
          <cell r="C278">
            <v>1.05504</v>
          </cell>
          <cell r="D278">
            <v>1.6171</v>
          </cell>
          <cell r="E278">
            <v>1.12883</v>
          </cell>
        </row>
        <row r="279">
          <cell r="A279">
            <v>750446</v>
          </cell>
          <cell r="B279" t="str">
            <v xml:space="preserve">카푸치노커피믹스１１２Ｇ      </v>
          </cell>
          <cell r="C279">
            <v>6.7256400000000003</v>
          </cell>
          <cell r="D279">
            <v>15.608409999999999</v>
          </cell>
          <cell r="E279">
            <v>12.35084</v>
          </cell>
        </row>
        <row r="280">
          <cell r="A280">
            <v>750448</v>
          </cell>
          <cell r="B280" t="str">
            <v xml:space="preserve">카페모카커피믹스１３６Ｇ      </v>
          </cell>
          <cell r="C280">
            <v>4.0736600000000003</v>
          </cell>
          <cell r="D280">
            <v>13.91469</v>
          </cell>
          <cell r="E280">
            <v>8.3920100000000009</v>
          </cell>
        </row>
        <row r="281">
          <cell r="A281">
            <v>4091107</v>
          </cell>
          <cell r="B281" t="str">
            <v xml:space="preserve">프리미엄커피믹스              </v>
          </cell>
          <cell r="C281">
            <v>10.799299999999999</v>
          </cell>
          <cell r="D281">
            <v>29.523099999999999</v>
          </cell>
          <cell r="E281">
            <v>20.74286</v>
          </cell>
        </row>
        <row r="282">
          <cell r="A282">
            <v>4091100</v>
          </cell>
          <cell r="B282" t="str">
            <v xml:space="preserve">커  피  믹  스                </v>
          </cell>
          <cell r="C282">
            <v>40.059959999999997</v>
          </cell>
          <cell r="D282">
            <v>63.473610000000001</v>
          </cell>
          <cell r="E282">
            <v>42.566209999999998</v>
          </cell>
        </row>
        <row r="283">
          <cell r="A283">
            <v>752074</v>
          </cell>
          <cell r="B283" t="str">
            <v xml:space="preserve">생크림５ＭＬｘ３０            </v>
          </cell>
          <cell r="C283">
            <v>0</v>
          </cell>
          <cell r="D283">
            <v>0</v>
          </cell>
          <cell r="E283">
            <v>0</v>
          </cell>
        </row>
        <row r="284">
          <cell r="A284">
            <v>4092101</v>
          </cell>
          <cell r="B284" t="str">
            <v xml:space="preserve">원  두  커 프 림              </v>
          </cell>
          <cell r="C284">
            <v>0</v>
          </cell>
          <cell r="D284">
            <v>0</v>
          </cell>
          <cell r="E284">
            <v>0</v>
          </cell>
        </row>
        <row r="285">
          <cell r="A285">
            <v>750302</v>
          </cell>
          <cell r="B285" t="str">
            <v xml:space="preserve">로즈버드커프림봉지５００Ｇ    </v>
          </cell>
          <cell r="C285">
            <v>2.2550400000000002</v>
          </cell>
          <cell r="D285">
            <v>1.7625599999999999</v>
          </cell>
          <cell r="E285">
            <v>2.2579199999999999</v>
          </cell>
        </row>
        <row r="286">
          <cell r="A286">
            <v>4092103</v>
          </cell>
          <cell r="B286" t="str">
            <v xml:space="preserve">커  프  림  (업)              </v>
          </cell>
          <cell r="C286">
            <v>2.2550400000000002</v>
          </cell>
          <cell r="D286">
            <v>1.7625599999999999</v>
          </cell>
          <cell r="E286">
            <v>2.2579199999999999</v>
          </cell>
        </row>
        <row r="287">
          <cell r="A287">
            <v>4092100</v>
          </cell>
          <cell r="B287" t="str">
            <v xml:space="preserve">커    프    림                </v>
          </cell>
          <cell r="C287">
            <v>2.2550400000000002</v>
          </cell>
          <cell r="D287">
            <v>1.7625599999999999</v>
          </cell>
          <cell r="E287">
            <v>2.2579199999999999</v>
          </cell>
        </row>
        <row r="288">
          <cell r="A288">
            <v>4090000</v>
          </cell>
          <cell r="B288" t="str">
            <v xml:space="preserve">커    피    류                </v>
          </cell>
          <cell r="C288">
            <v>83.934899999999999</v>
          </cell>
          <cell r="D288">
            <v>98.157070000000004</v>
          </cell>
          <cell r="E288">
            <v>77.65795</v>
          </cell>
        </row>
        <row r="289">
          <cell r="A289">
            <v>780102</v>
          </cell>
          <cell r="B289" t="str">
            <v>튀김가루１ＫＧ　　　　　　　　</v>
          </cell>
          <cell r="C289">
            <v>3.5689499999999996</v>
          </cell>
          <cell r="D289">
            <v>4.4676</v>
          </cell>
          <cell r="E289">
            <v>6.7225699999999993</v>
          </cell>
        </row>
        <row r="290">
          <cell r="A290">
            <v>4120101</v>
          </cell>
          <cell r="B290" t="str">
            <v xml:space="preserve">튀   김  가   루              </v>
          </cell>
          <cell r="C290">
            <v>3.5689499999999996</v>
          </cell>
          <cell r="D290">
            <v>4.4676</v>
          </cell>
          <cell r="E290">
            <v>6.7225699999999993</v>
          </cell>
        </row>
        <row r="291">
          <cell r="A291">
            <v>780132</v>
          </cell>
          <cell r="B291" t="str">
            <v>부침가루１ＫＧ　　　　　　　　</v>
          </cell>
          <cell r="C291">
            <v>5.7180900000000001</v>
          </cell>
          <cell r="D291">
            <v>7.4343199999999996</v>
          </cell>
          <cell r="E291">
            <v>13.054590000000001</v>
          </cell>
        </row>
        <row r="292">
          <cell r="A292">
            <v>4120103</v>
          </cell>
          <cell r="B292" t="str">
            <v xml:space="preserve">부   침  가   루              </v>
          </cell>
          <cell r="C292">
            <v>5.7180900000000001</v>
          </cell>
          <cell r="D292">
            <v>7.4343199999999996</v>
          </cell>
          <cell r="E292">
            <v>13.054590000000001</v>
          </cell>
        </row>
        <row r="293">
          <cell r="A293">
            <v>780151</v>
          </cell>
          <cell r="B293" t="str">
            <v>핫케익가루５００Ｇ　　　　　　</v>
          </cell>
          <cell r="C293">
            <v>1.5389999999999999</v>
          </cell>
          <cell r="D293">
            <v>1.9796400000000001</v>
          </cell>
          <cell r="E293">
            <v>2.9752199999999998</v>
          </cell>
        </row>
        <row r="294">
          <cell r="A294">
            <v>4120105</v>
          </cell>
          <cell r="B294" t="str">
            <v xml:space="preserve">핫  케  익 가 루              </v>
          </cell>
          <cell r="C294">
            <v>1.5389999999999999</v>
          </cell>
          <cell r="D294">
            <v>1.9796400000000001</v>
          </cell>
          <cell r="E294">
            <v>2.9752199999999998</v>
          </cell>
        </row>
        <row r="295">
          <cell r="A295">
            <v>780171</v>
          </cell>
          <cell r="B295" t="str">
            <v>도너츠가루５００Ｇ　　　　　　</v>
          </cell>
          <cell r="C295">
            <v>0.50526000000000004</v>
          </cell>
          <cell r="D295">
            <v>0.57462000000000002</v>
          </cell>
          <cell r="E295">
            <v>0.80759999999999998</v>
          </cell>
        </row>
        <row r="296">
          <cell r="A296">
            <v>4120107</v>
          </cell>
          <cell r="B296" t="str">
            <v xml:space="preserve">도  너  츠 가 루              </v>
          </cell>
          <cell r="C296">
            <v>0.50526000000000004</v>
          </cell>
          <cell r="D296">
            <v>0.57462000000000002</v>
          </cell>
          <cell r="E296">
            <v>0.80759999999999998</v>
          </cell>
        </row>
        <row r="297">
          <cell r="A297">
            <v>4120100</v>
          </cell>
          <cell r="B297" t="str">
            <v xml:space="preserve">프  리  믹  스                </v>
          </cell>
          <cell r="C297">
            <v>11.331299999999999</v>
          </cell>
          <cell r="D297">
            <v>14.45618</v>
          </cell>
          <cell r="E297">
            <v>23.559979999999999</v>
          </cell>
        </row>
        <row r="298">
          <cell r="A298">
            <v>4120000</v>
          </cell>
          <cell r="B298" t="str">
            <v xml:space="preserve">프 리 믹 스 류                </v>
          </cell>
          <cell r="C298">
            <v>11.331299999999999</v>
          </cell>
          <cell r="D298">
            <v>14.45618</v>
          </cell>
          <cell r="E298">
            <v>23.559979999999999</v>
          </cell>
        </row>
        <row r="299">
          <cell r="A299">
            <v>723014</v>
          </cell>
          <cell r="B299" t="str">
            <v xml:space="preserve">옥수수식용유０．９Ｌ          </v>
          </cell>
          <cell r="C299">
            <v>2.016</v>
          </cell>
          <cell r="D299">
            <v>2.7160000000000002</v>
          </cell>
          <cell r="E299">
            <v>4.9560000000000004</v>
          </cell>
        </row>
        <row r="300">
          <cell r="A300">
            <v>723015</v>
          </cell>
          <cell r="B300" t="str">
            <v xml:space="preserve">옥수수식용유１．８Ｌ          </v>
          </cell>
          <cell r="C300">
            <v>0</v>
          </cell>
          <cell r="D300">
            <v>4.8240000000000005E-2</v>
          </cell>
          <cell r="E300">
            <v>1.1358499999999998</v>
          </cell>
        </row>
        <row r="301">
          <cell r="A301">
            <v>723018</v>
          </cell>
          <cell r="B301" t="str">
            <v xml:space="preserve">옥수수식용유１．５Ｌ          </v>
          </cell>
          <cell r="C301">
            <v>0</v>
          </cell>
          <cell r="D301">
            <v>0</v>
          </cell>
          <cell r="E301">
            <v>-1.1703800000000002</v>
          </cell>
        </row>
        <row r="302">
          <cell r="A302">
            <v>4130102</v>
          </cell>
          <cell r="B302" t="str">
            <v xml:space="preserve">옥     배     유              </v>
          </cell>
          <cell r="C302">
            <v>2.016</v>
          </cell>
          <cell r="D302">
            <v>2.7642399999999996</v>
          </cell>
          <cell r="E302">
            <v>4.9214599999999997</v>
          </cell>
        </row>
        <row r="303">
          <cell r="A303">
            <v>1392</v>
          </cell>
          <cell r="B303" t="str">
            <v>옥수수식용유２호　　　　　　　</v>
          </cell>
          <cell r="C303">
            <v>0</v>
          </cell>
          <cell r="D303">
            <v>-4.2000000000000006E-3</v>
          </cell>
          <cell r="E303">
            <v>0</v>
          </cell>
        </row>
        <row r="304">
          <cell r="A304">
            <v>4130104</v>
          </cell>
          <cell r="B304" t="str">
            <v xml:space="preserve">옥  배  유 세 트              </v>
          </cell>
          <cell r="C304">
            <v>0</v>
          </cell>
          <cell r="D304">
            <v>-4.2000000000000006E-3</v>
          </cell>
          <cell r="E304">
            <v>0</v>
          </cell>
        </row>
        <row r="305">
          <cell r="A305">
            <v>723031</v>
          </cell>
          <cell r="B305" t="str">
            <v xml:space="preserve">콩식용유０．９Ｌ              </v>
          </cell>
          <cell r="C305">
            <v>1.4784000000000002</v>
          </cell>
          <cell r="D305">
            <v>1.3728</v>
          </cell>
          <cell r="E305">
            <v>2.2968000000000002</v>
          </cell>
        </row>
        <row r="306">
          <cell r="A306">
            <v>4130105</v>
          </cell>
          <cell r="B306" t="str">
            <v xml:space="preserve">대     두     유              </v>
          </cell>
          <cell r="C306">
            <v>1.4784000000000002</v>
          </cell>
          <cell r="D306">
            <v>1.3728</v>
          </cell>
          <cell r="E306">
            <v>2.2968000000000002</v>
          </cell>
        </row>
        <row r="307">
          <cell r="A307">
            <v>1395</v>
          </cell>
          <cell r="B307" t="str">
            <v xml:space="preserve">콩식용유２호                  </v>
          </cell>
          <cell r="C307">
            <v>-4.0499999999999998E-3</v>
          </cell>
          <cell r="D307">
            <v>0</v>
          </cell>
          <cell r="E307">
            <v>0</v>
          </cell>
        </row>
        <row r="308">
          <cell r="A308">
            <v>4130106</v>
          </cell>
          <cell r="B308" t="str">
            <v xml:space="preserve">대  두  유 세 트              </v>
          </cell>
          <cell r="C308">
            <v>-4.0499999999999998E-3</v>
          </cell>
          <cell r="D308">
            <v>0</v>
          </cell>
          <cell r="E308">
            <v>0</v>
          </cell>
        </row>
        <row r="309">
          <cell r="A309">
            <v>4130100</v>
          </cell>
          <cell r="B309" t="str">
            <v xml:space="preserve">식    용    유                </v>
          </cell>
          <cell r="C309">
            <v>3.4903499999999998</v>
          </cell>
          <cell r="D309">
            <v>4.1328399999999998</v>
          </cell>
          <cell r="E309">
            <v>7.2182599999999999</v>
          </cell>
        </row>
        <row r="310">
          <cell r="A310">
            <v>740403</v>
          </cell>
          <cell r="B310" t="str">
            <v xml:space="preserve">쏠라씨과립２００Ｇ            </v>
          </cell>
          <cell r="C310">
            <v>-1.77E-2</v>
          </cell>
          <cell r="D310">
            <v>0</v>
          </cell>
          <cell r="E310">
            <v>0</v>
          </cell>
        </row>
        <row r="311">
          <cell r="A311">
            <v>4132301</v>
          </cell>
          <cell r="B311" t="str">
            <v xml:space="preserve">쏠     라     씨              </v>
          </cell>
          <cell r="C311">
            <v>-1.77E-2</v>
          </cell>
          <cell r="D311">
            <v>0</v>
          </cell>
          <cell r="E311">
            <v>0</v>
          </cell>
        </row>
        <row r="312">
          <cell r="A312">
            <v>4132300</v>
          </cell>
          <cell r="B312" t="str">
            <v xml:space="preserve">비  타  민  제                </v>
          </cell>
          <cell r="C312">
            <v>-1.77E-2</v>
          </cell>
          <cell r="D312">
            <v>0</v>
          </cell>
          <cell r="E312">
            <v>0</v>
          </cell>
        </row>
        <row r="313">
          <cell r="A313">
            <v>4130000</v>
          </cell>
          <cell r="B313" t="str">
            <v xml:space="preserve">기 타 매 입 류                </v>
          </cell>
          <cell r="C313">
            <v>3.4726500000000002</v>
          </cell>
          <cell r="D313">
            <v>4.1328399999999998</v>
          </cell>
          <cell r="E313">
            <v>7.2182599999999999</v>
          </cell>
        </row>
        <row r="314">
          <cell r="A314">
            <v>509965</v>
          </cell>
          <cell r="B314" t="str">
            <v>간짜장１７０Ｇ　　　　　　　　</v>
          </cell>
          <cell r="C314">
            <v>3.0220599999999997</v>
          </cell>
          <cell r="D314">
            <v>3.04142</v>
          </cell>
          <cell r="E314">
            <v>3.0241199999999999</v>
          </cell>
        </row>
        <row r="315">
          <cell r="A315">
            <v>509968</v>
          </cell>
          <cell r="B315" t="str">
            <v xml:space="preserve">쇠고기간짜장１７０Ｇ          </v>
          </cell>
          <cell r="C315">
            <v>3.6722199999999998</v>
          </cell>
          <cell r="D315">
            <v>3.7509999999999999</v>
          </cell>
          <cell r="E315">
            <v>3.7958400000000001</v>
          </cell>
        </row>
        <row r="316">
          <cell r="A316">
            <v>4190101</v>
          </cell>
          <cell r="B316" t="str">
            <v xml:space="preserve">레토르트 짜   장              </v>
          </cell>
          <cell r="C316">
            <v>6.69428</v>
          </cell>
          <cell r="D316">
            <v>6.7924199999999999</v>
          </cell>
          <cell r="E316">
            <v>6.81996</v>
          </cell>
        </row>
        <row r="317">
          <cell r="A317">
            <v>509953</v>
          </cell>
          <cell r="B317" t="str">
            <v>야채카레２００Ｇ　　　　　　　</v>
          </cell>
          <cell r="C317">
            <v>1.3532</v>
          </cell>
          <cell r="D317">
            <v>1.33236</v>
          </cell>
          <cell r="E317">
            <v>1.1993399999999999</v>
          </cell>
        </row>
        <row r="318">
          <cell r="A318">
            <v>509956</v>
          </cell>
          <cell r="B318" t="str">
            <v xml:space="preserve">쇠고기카레순한맛２００Ｇ      </v>
          </cell>
          <cell r="C318">
            <v>1.2457400000000001</v>
          </cell>
          <cell r="D318">
            <v>1.44638</v>
          </cell>
          <cell r="E318">
            <v>1.3402799999999999</v>
          </cell>
        </row>
        <row r="319">
          <cell r="A319">
            <v>509959</v>
          </cell>
          <cell r="B319" t="str">
            <v xml:space="preserve">쇠고기카레중간맛２００Ｇ      </v>
          </cell>
          <cell r="C319">
            <v>2.4137199999999996</v>
          </cell>
          <cell r="D319">
            <v>2.2829600000000001</v>
          </cell>
          <cell r="E319">
            <v>2.1215999999999999</v>
          </cell>
        </row>
        <row r="320">
          <cell r="A320">
            <v>509962</v>
          </cell>
          <cell r="B320" t="str">
            <v xml:space="preserve">쇠고기카레매운맛２００Ｇ      </v>
          </cell>
          <cell r="C320">
            <v>3.2808000000000002</v>
          </cell>
          <cell r="D320">
            <v>3.0378600000000002</v>
          </cell>
          <cell r="E320">
            <v>2.6317199999999996</v>
          </cell>
        </row>
        <row r="321">
          <cell r="A321">
            <v>4190103</v>
          </cell>
          <cell r="B321" t="str">
            <v xml:space="preserve">레토르트 카   레              </v>
          </cell>
          <cell r="C321">
            <v>8.2934599999999996</v>
          </cell>
          <cell r="D321">
            <v>8.0995600000000003</v>
          </cell>
          <cell r="E321">
            <v>7.2929399999999998</v>
          </cell>
        </row>
        <row r="322">
          <cell r="A322">
            <v>508622</v>
          </cell>
          <cell r="B322" t="str">
            <v>쇠고기덮밥소스１９０Ｇ　　　　</v>
          </cell>
          <cell r="C322">
            <v>1.6684000000000001</v>
          </cell>
          <cell r="D322">
            <v>1.5995999999999999</v>
          </cell>
          <cell r="E322">
            <v>2.2531999999999996</v>
          </cell>
        </row>
        <row r="323">
          <cell r="A323">
            <v>4190105</v>
          </cell>
          <cell r="B323" t="str">
            <v xml:space="preserve">레토르트 덮   밥              </v>
          </cell>
          <cell r="C323">
            <v>1.6684000000000001</v>
          </cell>
          <cell r="D323">
            <v>1.5995999999999999</v>
          </cell>
          <cell r="E323">
            <v>2.2531999999999996</v>
          </cell>
        </row>
        <row r="324">
          <cell r="A324">
            <v>508550</v>
          </cell>
          <cell r="B324" t="str">
            <v xml:space="preserve">즉석쇠고기하이라이스１８０Ｇ  </v>
          </cell>
          <cell r="C324">
            <v>2.7068000000000003</v>
          </cell>
          <cell r="D324">
            <v>3.0335999999999999</v>
          </cell>
          <cell r="E324">
            <v>3.6</v>
          </cell>
        </row>
        <row r="325">
          <cell r="A325">
            <v>4190107</v>
          </cell>
          <cell r="B325" t="str">
            <v xml:space="preserve">레토르트하이라이스            </v>
          </cell>
          <cell r="C325">
            <v>2.7068000000000003</v>
          </cell>
          <cell r="D325">
            <v>3.0335999999999999</v>
          </cell>
          <cell r="E325">
            <v>3.6</v>
          </cell>
        </row>
        <row r="326">
          <cell r="A326">
            <v>508545</v>
          </cell>
          <cell r="B326" t="str">
            <v>스파케티쏘스１５０Ｇ（쿡　　　</v>
          </cell>
          <cell r="C326">
            <v>0.97920000000000007</v>
          </cell>
          <cell r="D326">
            <v>0.95040000000000002</v>
          </cell>
          <cell r="E326">
            <v>1.286</v>
          </cell>
        </row>
        <row r="327">
          <cell r="A327">
            <v>4190109</v>
          </cell>
          <cell r="B327" t="str">
            <v xml:space="preserve">레토르트스파게티              </v>
          </cell>
          <cell r="C327">
            <v>0.97920000000000007</v>
          </cell>
          <cell r="D327">
            <v>0.95040000000000002</v>
          </cell>
          <cell r="E327">
            <v>1.286</v>
          </cell>
        </row>
        <row r="328">
          <cell r="A328">
            <v>4190100</v>
          </cell>
          <cell r="B328" t="str">
            <v xml:space="preserve">파우치형레토르트              </v>
          </cell>
          <cell r="C328">
            <v>20.342140000000001</v>
          </cell>
          <cell r="D328">
            <v>20.475580000000001</v>
          </cell>
          <cell r="E328">
            <v>21.252099999999999</v>
          </cell>
        </row>
        <row r="329">
          <cell r="A329">
            <v>508441</v>
          </cell>
          <cell r="B329" t="str">
            <v xml:space="preserve">렌지함박스테이크１８５Ｇ      </v>
          </cell>
          <cell r="C329">
            <v>2.9484699999999999</v>
          </cell>
          <cell r="D329">
            <v>3.8544</v>
          </cell>
          <cell r="E329">
            <v>4.2705000000000002</v>
          </cell>
        </row>
        <row r="330">
          <cell r="A330">
            <v>508442</v>
          </cell>
          <cell r="B330" t="str">
            <v xml:space="preserve">렌지미트볼１８５Ｇ            </v>
          </cell>
          <cell r="C330">
            <v>3.7368699999999997</v>
          </cell>
          <cell r="D330">
            <v>5.1246</v>
          </cell>
          <cell r="E330">
            <v>13.655379999999999</v>
          </cell>
        </row>
        <row r="331">
          <cell r="A331">
            <v>508445</v>
          </cell>
          <cell r="B331" t="str">
            <v xml:space="preserve">렌지바베큐치킨１８５Ｇ        </v>
          </cell>
          <cell r="C331">
            <v>3.2842699999999998</v>
          </cell>
          <cell r="D331">
            <v>3.7668000000000004</v>
          </cell>
          <cell r="E331">
            <v>3.5499899999999998</v>
          </cell>
        </row>
        <row r="332">
          <cell r="A332">
            <v>508450</v>
          </cell>
          <cell r="B332" t="str">
            <v xml:space="preserve">P3렌지미트볼１８５Ｇ／이마트  </v>
          </cell>
          <cell r="C332">
            <v>0</v>
          </cell>
          <cell r="D332">
            <v>8.2695600000000002</v>
          </cell>
          <cell r="E332">
            <v>-0.47411999999999999</v>
          </cell>
        </row>
        <row r="333">
          <cell r="A333">
            <v>4190301</v>
          </cell>
          <cell r="B333" t="str">
            <v xml:space="preserve">용기레토 육   류              </v>
          </cell>
          <cell r="C333">
            <v>9.9696100000000012</v>
          </cell>
          <cell r="D333">
            <v>21.015360000000001</v>
          </cell>
          <cell r="E333">
            <v>21.001750000000001</v>
          </cell>
        </row>
        <row r="334">
          <cell r="A334">
            <v>4190300</v>
          </cell>
          <cell r="B334" t="str">
            <v xml:space="preserve">용 기 형레토르트              </v>
          </cell>
          <cell r="C334">
            <v>9.9696100000000012</v>
          </cell>
          <cell r="D334">
            <v>21.015360000000001</v>
          </cell>
          <cell r="E334">
            <v>21.001750000000001</v>
          </cell>
        </row>
        <row r="335">
          <cell r="A335">
            <v>4190000</v>
          </cell>
          <cell r="B335" t="str">
            <v xml:space="preserve">레  토  르  트                </v>
          </cell>
          <cell r="C335">
            <v>30.31175</v>
          </cell>
          <cell r="D335">
            <v>41.490929999999999</v>
          </cell>
          <cell r="E335">
            <v>42.25385</v>
          </cell>
        </row>
        <row r="336">
          <cell r="A336">
            <v>806138</v>
          </cell>
          <cell r="B336" t="str">
            <v>락스４Ｌ　　　　　　　　　　　</v>
          </cell>
          <cell r="C336">
            <v>5.03</v>
          </cell>
          <cell r="D336">
            <v>5.6574999999999998</v>
          </cell>
          <cell r="E336">
            <v>6.32</v>
          </cell>
        </row>
        <row r="337">
          <cell r="A337">
            <v>5010601</v>
          </cell>
          <cell r="B337" t="str">
            <v xml:space="preserve">락            스              </v>
          </cell>
          <cell r="C337">
            <v>5.03</v>
          </cell>
          <cell r="D337">
            <v>5.6574999999999998</v>
          </cell>
          <cell r="E337">
            <v>6.32</v>
          </cell>
        </row>
        <row r="338">
          <cell r="A338">
            <v>5010600</v>
          </cell>
          <cell r="B338" t="str">
            <v xml:space="preserve">락          스                </v>
          </cell>
          <cell r="C338">
            <v>5.03</v>
          </cell>
          <cell r="D338">
            <v>5.6574999999999998</v>
          </cell>
          <cell r="E338">
            <v>6.32</v>
          </cell>
        </row>
        <row r="339">
          <cell r="A339">
            <v>5010000</v>
          </cell>
          <cell r="B339" t="str">
            <v xml:space="preserve">생 활 용 품 류                </v>
          </cell>
          <cell r="C339">
            <v>5.03</v>
          </cell>
          <cell r="D339">
            <v>5.6574999999999998</v>
          </cell>
          <cell r="E339">
            <v>6.32</v>
          </cell>
        </row>
        <row r="340">
          <cell r="A340">
            <v>413011</v>
          </cell>
          <cell r="B340" t="str">
            <v xml:space="preserve">스위트콘３４０Ｇ              </v>
          </cell>
          <cell r="C340">
            <v>19.3186</v>
          </cell>
          <cell r="D340">
            <v>17.226459999999999</v>
          </cell>
          <cell r="E340">
            <v>23.734479999999998</v>
          </cell>
        </row>
        <row r="341">
          <cell r="A341">
            <v>5020701</v>
          </cell>
          <cell r="B341" t="str">
            <v xml:space="preserve">스   위   트  콘              </v>
          </cell>
          <cell r="C341">
            <v>19.3186</v>
          </cell>
          <cell r="D341">
            <v>17.226459999999999</v>
          </cell>
          <cell r="E341">
            <v>23.734479999999998</v>
          </cell>
        </row>
        <row r="342">
          <cell r="A342">
            <v>5020700</v>
          </cell>
          <cell r="B342" t="str">
            <v xml:space="preserve">서  구  캔  류                </v>
          </cell>
          <cell r="C342">
            <v>19.3186</v>
          </cell>
          <cell r="D342">
            <v>17.226459999999999</v>
          </cell>
          <cell r="E342">
            <v>23.734479999999998</v>
          </cell>
        </row>
        <row r="343">
          <cell r="A343">
            <v>5020000</v>
          </cell>
          <cell r="B343" t="str">
            <v xml:space="preserve">수 입 상 품 류                </v>
          </cell>
          <cell r="C343">
            <v>19.3186</v>
          </cell>
          <cell r="D343">
            <v>17.226459999999999</v>
          </cell>
          <cell r="E343">
            <v>23.734479999999998</v>
          </cell>
        </row>
        <row r="344">
          <cell r="A344">
            <v>718024</v>
          </cell>
          <cell r="B344" t="str">
            <v>한입돈까스１ＫＧ　　　　　　　</v>
          </cell>
          <cell r="C344">
            <v>0</v>
          </cell>
          <cell r="D344">
            <v>0</v>
          </cell>
          <cell r="E344">
            <v>-7.6E-3</v>
          </cell>
        </row>
        <row r="345">
          <cell r="A345">
            <v>718238</v>
          </cell>
          <cell r="B345" t="str">
            <v xml:space="preserve">미트랑돈까스／이마트　　　　  </v>
          </cell>
          <cell r="C345">
            <v>7.5343599999999995</v>
          </cell>
          <cell r="D345">
            <v>8.8178799999999988</v>
          </cell>
          <cell r="E345">
            <v>16.81682</v>
          </cell>
        </row>
        <row r="346">
          <cell r="A346">
            <v>6015503</v>
          </cell>
          <cell r="B346" t="str">
            <v xml:space="preserve">돈     까     스              </v>
          </cell>
          <cell r="C346">
            <v>7.5343599999999995</v>
          </cell>
          <cell r="D346">
            <v>8.8178799999999988</v>
          </cell>
          <cell r="E346">
            <v>16.80922</v>
          </cell>
        </row>
        <row r="347">
          <cell r="A347">
            <v>718220</v>
          </cell>
          <cell r="B347" t="str">
            <v>새우동그랑땡８００Ｇ　　　　　</v>
          </cell>
          <cell r="C347">
            <v>26.100939999999998</v>
          </cell>
          <cell r="D347">
            <v>48.370559999999998</v>
          </cell>
          <cell r="E347">
            <v>24.087520000000001</v>
          </cell>
        </row>
        <row r="348">
          <cell r="A348">
            <v>6015505</v>
          </cell>
          <cell r="B348" t="str">
            <v xml:space="preserve">햄     버     그              </v>
          </cell>
          <cell r="C348">
            <v>26.100939999999998</v>
          </cell>
          <cell r="D348">
            <v>48.370559999999998</v>
          </cell>
          <cell r="E348">
            <v>24.087520000000001</v>
          </cell>
        </row>
        <row r="349">
          <cell r="A349">
            <v>718414</v>
          </cell>
          <cell r="B349" t="str">
            <v>숯불떡갈비８００Ｇ　　　　　　</v>
          </cell>
          <cell r="C349">
            <v>141.10453000000001</v>
          </cell>
          <cell r="D349">
            <v>108.17304</v>
          </cell>
          <cell r="E349">
            <v>95.058170000000004</v>
          </cell>
        </row>
        <row r="350">
          <cell r="A350">
            <v>6015513</v>
          </cell>
          <cell r="B350" t="str">
            <v xml:space="preserve">축   육  구   이              </v>
          </cell>
          <cell r="C350">
            <v>141.10453000000001</v>
          </cell>
          <cell r="D350">
            <v>108.17304</v>
          </cell>
          <cell r="E350">
            <v>95.058170000000004</v>
          </cell>
        </row>
        <row r="351">
          <cell r="A351">
            <v>6015500</v>
          </cell>
          <cell r="B351" t="str">
            <v xml:space="preserve">냉  식  제  조                </v>
          </cell>
          <cell r="C351">
            <v>174.73982000000001</v>
          </cell>
          <cell r="D351">
            <v>165.36148</v>
          </cell>
          <cell r="E351">
            <v>135.95491000000001</v>
          </cell>
        </row>
        <row r="352">
          <cell r="A352">
            <v>6010000</v>
          </cell>
          <cell r="B352" t="str">
            <v xml:space="preserve">냉 동 식 품 류                </v>
          </cell>
          <cell r="C352">
            <v>174.73982000000001</v>
          </cell>
          <cell r="D352">
            <v>165.36148</v>
          </cell>
          <cell r="E352">
            <v>135.95491000000001</v>
          </cell>
        </row>
        <row r="353">
          <cell r="A353" t="str">
            <v>TOT</v>
          </cell>
          <cell r="B353" t="str">
            <v>총  계</v>
          </cell>
          <cell r="C353">
            <v>1379.5262399999999</v>
          </cell>
          <cell r="D353">
            <v>1536.31933</v>
          </cell>
          <cell r="E353">
            <v>1441.4376200000002</v>
          </cell>
        </row>
      </sheetData>
      <sheetData sheetId="2" refreshError="1">
        <row r="1">
          <cell r="A1" t="str">
            <v>코   드</v>
          </cell>
          <cell r="B1" t="str">
            <v>구   분</v>
          </cell>
          <cell r="C1" t="str">
            <v>GP율</v>
          </cell>
          <cell r="D1" t="str">
            <v>GP액</v>
          </cell>
          <cell r="E1" t="str">
            <v>매출금액</v>
          </cell>
        </row>
        <row r="2">
          <cell r="A2">
            <v>21160</v>
          </cell>
          <cell r="B2" t="str">
            <v xml:space="preserve">아미노산미원１．５ＫＧ        </v>
          </cell>
          <cell r="C2">
            <v>70.25</v>
          </cell>
          <cell r="D2">
            <v>39823.58</v>
          </cell>
          <cell r="E2">
            <v>56.684400000000004</v>
          </cell>
        </row>
        <row r="3">
          <cell r="A3">
            <v>1010202</v>
          </cell>
          <cell r="B3" t="str">
            <v xml:space="preserve">아 미 노 산 (업)              </v>
          </cell>
          <cell r="C3">
            <v>70.25</v>
          </cell>
          <cell r="D3">
            <v>39823.58</v>
          </cell>
          <cell r="E3">
            <v>56.684400000000004</v>
          </cell>
        </row>
        <row r="4">
          <cell r="A4">
            <v>1010200</v>
          </cell>
          <cell r="B4" t="str">
            <v xml:space="preserve">아미노산 미 원                </v>
          </cell>
          <cell r="C4">
            <v>70.25</v>
          </cell>
          <cell r="D4">
            <v>39823.58</v>
          </cell>
          <cell r="E4">
            <v>56.684400000000004</v>
          </cell>
        </row>
        <row r="5">
          <cell r="A5">
            <v>31133</v>
          </cell>
          <cell r="B5" t="str">
            <v xml:space="preserve">감칠맛나는미원１３０Ｇ        </v>
          </cell>
          <cell r="C5">
            <v>73.67</v>
          </cell>
          <cell r="D5">
            <v>13858.32</v>
          </cell>
          <cell r="E5">
            <v>18.810400000000001</v>
          </cell>
        </row>
        <row r="6">
          <cell r="A6">
            <v>31134</v>
          </cell>
          <cell r="B6" t="str">
            <v xml:space="preserve">감칠맛나는미원２８０Ｇ        </v>
          </cell>
          <cell r="C6">
            <v>73.39</v>
          </cell>
          <cell r="D6">
            <v>21379.05</v>
          </cell>
          <cell r="E6">
            <v>29.129799999999999</v>
          </cell>
        </row>
        <row r="7">
          <cell r="A7">
            <v>31136</v>
          </cell>
          <cell r="B7" t="str">
            <v xml:space="preserve">감칠맛나는미원５００Ｇ        </v>
          </cell>
          <cell r="C7">
            <v>64.78</v>
          </cell>
          <cell r="D7">
            <v>13472.64</v>
          </cell>
          <cell r="E7">
            <v>20.798400000000001</v>
          </cell>
        </row>
        <row r="8">
          <cell r="A8">
            <v>31138</v>
          </cell>
          <cell r="B8" t="str">
            <v xml:space="preserve">감칠맛나는미원８５０Ｇ        </v>
          </cell>
          <cell r="C8">
            <v>71.650000000000006</v>
          </cell>
          <cell r="D8">
            <v>11998.72</v>
          </cell>
          <cell r="E8">
            <v>16.747199999999999</v>
          </cell>
        </row>
        <row r="9">
          <cell r="A9">
            <v>31143</v>
          </cell>
          <cell r="B9" t="str">
            <v xml:space="preserve">감칠맛나는미원７５Ｇ          </v>
          </cell>
          <cell r="C9">
            <v>52.48</v>
          </cell>
          <cell r="D9">
            <v>1275.5999999999999</v>
          </cell>
          <cell r="E9">
            <v>2.4306000000000001</v>
          </cell>
        </row>
        <row r="10">
          <cell r="A10">
            <v>1010501</v>
          </cell>
          <cell r="B10" t="str">
            <v xml:space="preserve">감칠맛 미원 (가)              </v>
          </cell>
          <cell r="C10">
            <v>70.5</v>
          </cell>
          <cell r="D10">
            <v>61984.33</v>
          </cell>
          <cell r="E10">
            <v>87.916399999999996</v>
          </cell>
        </row>
        <row r="11">
          <cell r="A11">
            <v>1010500</v>
          </cell>
          <cell r="B11" t="str">
            <v xml:space="preserve">감칠맛나는미원                </v>
          </cell>
          <cell r="C11">
            <v>70.5</v>
          </cell>
          <cell r="D11">
            <v>61984.33</v>
          </cell>
          <cell r="E11">
            <v>87.916399999999996</v>
          </cell>
        </row>
        <row r="12">
          <cell r="A12">
            <v>1010000</v>
          </cell>
          <cell r="B12" t="str">
            <v xml:space="preserve">미    원    류                </v>
          </cell>
          <cell r="C12">
            <v>70.41</v>
          </cell>
          <cell r="D12">
            <v>101807.91</v>
          </cell>
          <cell r="E12">
            <v>144.60079999999999</v>
          </cell>
        </row>
        <row r="13">
          <cell r="A13">
            <v>11467</v>
          </cell>
          <cell r="B13" t="str">
            <v xml:space="preserve">맛소금２５０Ｇ                </v>
          </cell>
          <cell r="C13">
            <v>46.49</v>
          </cell>
          <cell r="D13">
            <v>5848</v>
          </cell>
          <cell r="E13">
            <v>12.58</v>
          </cell>
        </row>
        <row r="14">
          <cell r="A14">
            <v>11469</v>
          </cell>
          <cell r="B14" t="str">
            <v xml:space="preserve">맛소금５００Ｇ                </v>
          </cell>
          <cell r="C14">
            <v>51.81</v>
          </cell>
          <cell r="D14">
            <v>8593.92</v>
          </cell>
          <cell r="E14">
            <v>16.588799999999999</v>
          </cell>
        </row>
        <row r="15">
          <cell r="A15">
            <v>11471</v>
          </cell>
          <cell r="B15" t="str">
            <v xml:space="preserve">맛소금１ＫＧ                  </v>
          </cell>
          <cell r="C15">
            <v>43.67</v>
          </cell>
          <cell r="D15">
            <v>4160.5600000000004</v>
          </cell>
          <cell r="E15">
            <v>9.5280000000000005</v>
          </cell>
        </row>
        <row r="16">
          <cell r="A16">
            <v>11485</v>
          </cell>
          <cell r="B16" t="str">
            <v xml:space="preserve">맛소금２ＫＧ                  </v>
          </cell>
          <cell r="C16">
            <v>32.979999999999997</v>
          </cell>
          <cell r="D16">
            <v>1748.39</v>
          </cell>
          <cell r="E16">
            <v>5.3018999999999998</v>
          </cell>
        </row>
        <row r="17">
          <cell r="A17">
            <v>11489</v>
          </cell>
          <cell r="B17" t="str">
            <v>맛소금１．５ＫＧ　　　　　　　</v>
          </cell>
          <cell r="C17">
            <v>33.549999999999997</v>
          </cell>
          <cell r="D17">
            <v>1210.56</v>
          </cell>
          <cell r="E17">
            <v>3.6084000000000001</v>
          </cell>
        </row>
        <row r="18">
          <cell r="A18">
            <v>1020101</v>
          </cell>
          <cell r="B18" t="str">
            <v xml:space="preserve">맛  소  금  (가)              </v>
          </cell>
          <cell r="C18">
            <v>45.29</v>
          </cell>
          <cell r="D18">
            <v>21561.43</v>
          </cell>
          <cell r="E18">
            <v>47.607099999999996</v>
          </cell>
        </row>
        <row r="19">
          <cell r="A19">
            <v>1020100</v>
          </cell>
          <cell r="B19" t="str">
            <v xml:space="preserve">일 반 맛 소 금                </v>
          </cell>
          <cell r="C19">
            <v>45.29</v>
          </cell>
          <cell r="D19">
            <v>21561.43</v>
          </cell>
          <cell r="E19">
            <v>47.607099999999996</v>
          </cell>
        </row>
        <row r="20">
          <cell r="A20">
            <v>770126</v>
          </cell>
          <cell r="B20" t="str">
            <v xml:space="preserve">구운소금５００Ｇ              </v>
          </cell>
          <cell r="C20">
            <v>34.590000000000003</v>
          </cell>
          <cell r="D20">
            <v>-553.92999999999995</v>
          </cell>
          <cell r="E20">
            <v>-1.6013199999999999</v>
          </cell>
        </row>
        <row r="21">
          <cell r="A21">
            <v>770127</v>
          </cell>
          <cell r="B21" t="str">
            <v xml:space="preserve">구운소금１ＫＧ                </v>
          </cell>
          <cell r="C21">
            <v>40</v>
          </cell>
          <cell r="D21">
            <v>-539</v>
          </cell>
          <cell r="E21">
            <v>-1.3474999999999999</v>
          </cell>
        </row>
        <row r="22">
          <cell r="A22">
            <v>770131</v>
          </cell>
          <cell r="B22" t="str">
            <v xml:space="preserve">구운소금２００Ｇ／지관        </v>
          </cell>
          <cell r="C22">
            <v>44.3</v>
          </cell>
          <cell r="D22">
            <v>-902.54</v>
          </cell>
          <cell r="E22">
            <v>-2.0373099999999997</v>
          </cell>
        </row>
        <row r="23">
          <cell r="A23">
            <v>1020301</v>
          </cell>
          <cell r="B23" t="str">
            <v xml:space="preserve">구   운  소   금              </v>
          </cell>
          <cell r="C23">
            <v>40.020000000000003</v>
          </cell>
          <cell r="D23">
            <v>-1995.46</v>
          </cell>
          <cell r="E23">
            <v>-4.9861300000000002</v>
          </cell>
        </row>
        <row r="24">
          <cell r="A24">
            <v>1020300</v>
          </cell>
          <cell r="B24" t="str">
            <v xml:space="preserve">건  강  소  금                </v>
          </cell>
          <cell r="C24">
            <v>40.020000000000003</v>
          </cell>
          <cell r="D24">
            <v>-1995.46</v>
          </cell>
          <cell r="E24">
            <v>-4.9861300000000002</v>
          </cell>
        </row>
        <row r="25">
          <cell r="A25">
            <v>1020000</v>
          </cell>
          <cell r="B25" t="str">
            <v xml:space="preserve">소    금    류                </v>
          </cell>
          <cell r="C25">
            <v>45.91</v>
          </cell>
          <cell r="D25">
            <v>19565.97</v>
          </cell>
          <cell r="E25">
            <v>42.62097</v>
          </cell>
        </row>
        <row r="26">
          <cell r="A26">
            <v>100108</v>
          </cell>
          <cell r="B26" t="str">
            <v>쇠고기맛나３００Ｇ　　　　　　</v>
          </cell>
          <cell r="C26">
            <v>64.989999999999995</v>
          </cell>
          <cell r="D26">
            <v>4282.8</v>
          </cell>
          <cell r="E26">
            <v>6.5901999999999994</v>
          </cell>
        </row>
        <row r="27">
          <cell r="A27">
            <v>100109</v>
          </cell>
          <cell r="B27" t="str">
            <v>쇠고기맛나５００Ｇ　　　　　　</v>
          </cell>
          <cell r="C27">
            <v>64.97</v>
          </cell>
          <cell r="D27">
            <v>3868.13</v>
          </cell>
          <cell r="E27">
            <v>5.9535400000000003</v>
          </cell>
        </row>
        <row r="28">
          <cell r="A28">
            <v>100112</v>
          </cell>
          <cell r="B28" t="str">
            <v>쇠고기맛나７５０Ｇ　　　　　　</v>
          </cell>
          <cell r="C28">
            <v>67.319999999999993</v>
          </cell>
          <cell r="D28">
            <v>2139.6799999999998</v>
          </cell>
          <cell r="E28">
            <v>3.1785600000000001</v>
          </cell>
        </row>
        <row r="29">
          <cell r="A29">
            <v>100118</v>
          </cell>
          <cell r="B29" t="str">
            <v xml:space="preserve">쇠고기맛나１ＫＧ　　　　　　  </v>
          </cell>
          <cell r="C29">
            <v>64.72</v>
          </cell>
          <cell r="D29">
            <v>4277.87</v>
          </cell>
          <cell r="E29">
            <v>6.6093799999999998</v>
          </cell>
        </row>
        <row r="30">
          <cell r="A30">
            <v>100356</v>
          </cell>
          <cell r="B30" t="str">
            <v>쇠맛나２．２５ＫＧ＋맛소금１Ｋ</v>
          </cell>
          <cell r="C30">
            <v>60.1</v>
          </cell>
          <cell r="D30">
            <v>4598.78</v>
          </cell>
          <cell r="E30">
            <v>7.65158</v>
          </cell>
        </row>
        <row r="31">
          <cell r="A31">
            <v>1030101</v>
          </cell>
          <cell r="B31" t="str">
            <v xml:space="preserve">쇠 고 기 맛   나              </v>
          </cell>
          <cell r="C31">
            <v>63.93</v>
          </cell>
          <cell r="D31">
            <v>19167.259999999998</v>
          </cell>
          <cell r="E31">
            <v>29.983259999999998</v>
          </cell>
        </row>
        <row r="32">
          <cell r="A32">
            <v>1030100</v>
          </cell>
          <cell r="B32" t="str">
            <v xml:space="preserve">맛          나                </v>
          </cell>
          <cell r="C32">
            <v>63.93</v>
          </cell>
          <cell r="D32">
            <v>19167.259999999998</v>
          </cell>
          <cell r="E32">
            <v>29.983259999999998</v>
          </cell>
        </row>
        <row r="33">
          <cell r="A33">
            <v>108106</v>
          </cell>
          <cell r="B33" t="str">
            <v>쇠고기감치미１２０Ｇ　　　　　</v>
          </cell>
          <cell r="C33">
            <v>44.81</v>
          </cell>
          <cell r="D33">
            <v>1987.85</v>
          </cell>
          <cell r="E33">
            <v>4.43635</v>
          </cell>
        </row>
        <row r="34">
          <cell r="A34">
            <v>108114</v>
          </cell>
          <cell r="B34" t="str">
            <v xml:space="preserve">쇠고기감치미３００Ｇ          </v>
          </cell>
          <cell r="C34">
            <v>51.85</v>
          </cell>
          <cell r="D34">
            <v>5990.84</v>
          </cell>
          <cell r="E34">
            <v>11.55344</v>
          </cell>
        </row>
        <row r="35">
          <cell r="A35">
            <v>108123</v>
          </cell>
          <cell r="B35" t="str">
            <v xml:space="preserve">쇠고기감치미５００Ｇ          </v>
          </cell>
          <cell r="C35">
            <v>51.35</v>
          </cell>
          <cell r="D35">
            <v>5203.87</v>
          </cell>
          <cell r="E35">
            <v>10.134139999999999</v>
          </cell>
        </row>
        <row r="36">
          <cell r="A36">
            <v>108125</v>
          </cell>
          <cell r="B36" t="str">
            <v xml:space="preserve">쇠고기감치미７５０Ｇ　　　　  </v>
          </cell>
          <cell r="C36">
            <v>55.26</v>
          </cell>
          <cell r="D36">
            <v>2624.83</v>
          </cell>
          <cell r="E36">
            <v>4.7502700000000004</v>
          </cell>
        </row>
        <row r="37">
          <cell r="A37">
            <v>951302</v>
          </cell>
          <cell r="B37" t="str">
            <v xml:space="preserve">쇠고기감치미１ＫＧ            </v>
          </cell>
          <cell r="C37">
            <v>53.3</v>
          </cell>
          <cell r="D37">
            <v>4601.7299999999996</v>
          </cell>
          <cell r="E37">
            <v>8.6334499999999998</v>
          </cell>
        </row>
        <row r="38">
          <cell r="A38">
            <v>1030301</v>
          </cell>
          <cell r="B38" t="str">
            <v xml:space="preserve">쇠 고 기감 치 미              </v>
          </cell>
          <cell r="C38">
            <v>51.66</v>
          </cell>
          <cell r="D38">
            <v>20409.12</v>
          </cell>
          <cell r="E38">
            <v>39.507660000000001</v>
          </cell>
        </row>
        <row r="39">
          <cell r="A39">
            <v>108212</v>
          </cell>
          <cell r="B39" t="str">
            <v>해물감치미５００Ｇ　　　　　　</v>
          </cell>
          <cell r="C39">
            <v>62.2</v>
          </cell>
          <cell r="D39">
            <v>2119.6799999999998</v>
          </cell>
          <cell r="E39">
            <v>3.40768</v>
          </cell>
        </row>
        <row r="40">
          <cell r="A40">
            <v>108213</v>
          </cell>
          <cell r="B40" t="str">
            <v>해물감치미３００Ｇ　　　　　　</v>
          </cell>
          <cell r="C40">
            <v>59.94</v>
          </cell>
          <cell r="D40">
            <v>2559.92</v>
          </cell>
          <cell r="E40">
            <v>4.2707199999999998</v>
          </cell>
        </row>
        <row r="41">
          <cell r="A41">
            <v>1030303</v>
          </cell>
          <cell r="B41" t="str">
            <v xml:space="preserve">해    물감 치 미              </v>
          </cell>
          <cell r="C41">
            <v>60.94</v>
          </cell>
          <cell r="D41">
            <v>4679.6000000000004</v>
          </cell>
          <cell r="E41">
            <v>7.6783999999999999</v>
          </cell>
        </row>
        <row r="42">
          <cell r="A42">
            <v>108301</v>
          </cell>
          <cell r="B42" t="str">
            <v xml:space="preserve">버섯감치미３００Ｇ            </v>
          </cell>
          <cell r="C42">
            <v>58.77</v>
          </cell>
          <cell r="D42">
            <v>3435.92</v>
          </cell>
          <cell r="E42">
            <v>5.8464</v>
          </cell>
        </row>
        <row r="43">
          <cell r="A43">
            <v>108302</v>
          </cell>
          <cell r="B43" t="str">
            <v xml:space="preserve">버섯감치미５００Ｇ            </v>
          </cell>
          <cell r="C43">
            <v>57.77</v>
          </cell>
          <cell r="D43">
            <v>1642.56</v>
          </cell>
          <cell r="E43">
            <v>2.8431599999999997</v>
          </cell>
        </row>
        <row r="44">
          <cell r="A44">
            <v>1030304</v>
          </cell>
          <cell r="B44" t="str">
            <v xml:space="preserve">버    섯감 치 미              </v>
          </cell>
          <cell r="C44">
            <v>58.44</v>
          </cell>
          <cell r="D44">
            <v>5078.4799999999996</v>
          </cell>
          <cell r="E44">
            <v>8.6895600000000002</v>
          </cell>
        </row>
        <row r="45">
          <cell r="A45">
            <v>1030300</v>
          </cell>
          <cell r="B45" t="str">
            <v xml:space="preserve">감    치    미                </v>
          </cell>
          <cell r="C45">
            <v>53.99</v>
          </cell>
          <cell r="D45">
            <v>30167.200000000001</v>
          </cell>
          <cell r="E45">
            <v>55.875620000000005</v>
          </cell>
        </row>
        <row r="46">
          <cell r="A46">
            <v>1030000</v>
          </cell>
          <cell r="B46" t="str">
            <v xml:space="preserve">종 합 조미료류                </v>
          </cell>
          <cell r="C46">
            <v>57.46</v>
          </cell>
          <cell r="D46">
            <v>49334.47</v>
          </cell>
          <cell r="E46">
            <v>85.858879999999999</v>
          </cell>
        </row>
        <row r="47">
          <cell r="A47">
            <v>221002</v>
          </cell>
          <cell r="B47" t="str">
            <v xml:space="preserve">쇠고기진육수４５０Ｇ          </v>
          </cell>
          <cell r="C47">
            <v>40.479999999999997</v>
          </cell>
          <cell r="D47">
            <v>3181.18</v>
          </cell>
          <cell r="E47">
            <v>7.8593799999999998</v>
          </cell>
        </row>
        <row r="48">
          <cell r="A48">
            <v>1050101</v>
          </cell>
          <cell r="B48" t="str">
            <v xml:space="preserve">쇠 고 기진 육 수              </v>
          </cell>
          <cell r="C48">
            <v>40.479999999999997</v>
          </cell>
          <cell r="D48">
            <v>3181.18</v>
          </cell>
          <cell r="E48">
            <v>7.8593799999999998</v>
          </cell>
        </row>
        <row r="49">
          <cell r="A49">
            <v>1050100</v>
          </cell>
          <cell r="B49" t="str">
            <v xml:space="preserve">진    육    수                </v>
          </cell>
          <cell r="C49">
            <v>40.479999999999997</v>
          </cell>
          <cell r="D49">
            <v>3181.18</v>
          </cell>
          <cell r="E49">
            <v>7.8593799999999998</v>
          </cell>
        </row>
        <row r="50">
          <cell r="A50">
            <v>1050000</v>
          </cell>
          <cell r="B50" t="str">
            <v xml:space="preserve">육 수 류                      </v>
          </cell>
          <cell r="C50">
            <v>40.479999999999997</v>
          </cell>
          <cell r="D50">
            <v>3181.18</v>
          </cell>
          <cell r="E50">
            <v>7.8593799999999998</v>
          </cell>
        </row>
        <row r="51">
          <cell r="A51">
            <v>60111</v>
          </cell>
          <cell r="B51" t="str">
            <v xml:space="preserve">청정원올리고당７００Ｇ        </v>
          </cell>
          <cell r="C51">
            <v>38</v>
          </cell>
          <cell r="D51">
            <v>1208.4000000000001</v>
          </cell>
          <cell r="E51">
            <v>3.18</v>
          </cell>
        </row>
        <row r="52">
          <cell r="A52">
            <v>1700101</v>
          </cell>
          <cell r="B52" t="str">
            <v xml:space="preserve">올 리 고 당 (가)              </v>
          </cell>
          <cell r="C52">
            <v>38</v>
          </cell>
          <cell r="D52">
            <v>1208.4000000000001</v>
          </cell>
          <cell r="E52">
            <v>3.18</v>
          </cell>
        </row>
        <row r="53">
          <cell r="A53">
            <v>1700100</v>
          </cell>
          <cell r="B53" t="str">
            <v xml:space="preserve">올  리  고  당                </v>
          </cell>
          <cell r="C53">
            <v>38</v>
          </cell>
          <cell r="D53">
            <v>1208.4000000000001</v>
          </cell>
          <cell r="E53">
            <v>3.18</v>
          </cell>
        </row>
        <row r="54">
          <cell r="A54">
            <v>60411</v>
          </cell>
          <cell r="B54" t="str">
            <v xml:space="preserve">그린스위트１Ｇ스틱８０        </v>
          </cell>
          <cell r="C54">
            <v>23.64</v>
          </cell>
          <cell r="D54">
            <v>249.6</v>
          </cell>
          <cell r="E54">
            <v>1.056</v>
          </cell>
        </row>
        <row r="55">
          <cell r="A55">
            <v>60417</v>
          </cell>
          <cell r="B55" t="str">
            <v xml:space="preserve">슈멜로３６０ＭＬ＋티스푼      </v>
          </cell>
          <cell r="C55">
            <v>59.76</v>
          </cell>
          <cell r="D55">
            <v>90.36</v>
          </cell>
          <cell r="E55">
            <v>0.1512</v>
          </cell>
        </row>
        <row r="56">
          <cell r="A56">
            <v>1700301</v>
          </cell>
          <cell r="B56" t="str">
            <v xml:space="preserve">그린스위트 （가）             </v>
          </cell>
          <cell r="C56">
            <v>28.16</v>
          </cell>
          <cell r="D56">
            <v>339.96</v>
          </cell>
          <cell r="E56">
            <v>1.2072000000000001</v>
          </cell>
        </row>
        <row r="57">
          <cell r="A57">
            <v>1700300</v>
          </cell>
          <cell r="B57" t="str">
            <v xml:space="preserve">그 린 스 위 트                </v>
          </cell>
          <cell r="C57">
            <v>28.16</v>
          </cell>
          <cell r="D57">
            <v>339.96</v>
          </cell>
          <cell r="E57">
            <v>1.2072000000000001</v>
          </cell>
        </row>
        <row r="58">
          <cell r="A58">
            <v>790116</v>
          </cell>
          <cell r="B58" t="str">
            <v xml:space="preserve">올리고쌀엿３ＫＧ              </v>
          </cell>
          <cell r="C58">
            <v>30.27</v>
          </cell>
          <cell r="D58">
            <v>2304.7199999999998</v>
          </cell>
          <cell r="E58">
            <v>7.6150799999999998</v>
          </cell>
        </row>
        <row r="59">
          <cell r="A59">
            <v>790117</v>
          </cell>
          <cell r="B59" t="str">
            <v>올리고쌀엿１．２ＫＧ＋사과식초</v>
          </cell>
          <cell r="C59">
            <v>31.65</v>
          </cell>
          <cell r="D59">
            <v>2027.52</v>
          </cell>
          <cell r="E59">
            <v>6.4051200000000001</v>
          </cell>
        </row>
        <row r="60">
          <cell r="A60">
            <v>1700903</v>
          </cell>
          <cell r="B60" t="str">
            <v xml:space="preserve">올 리 고   쌀 엿              </v>
          </cell>
          <cell r="C60">
            <v>30.9</v>
          </cell>
          <cell r="D60">
            <v>4332.24</v>
          </cell>
          <cell r="E60">
            <v>14.020200000000001</v>
          </cell>
        </row>
        <row r="61">
          <cell r="A61">
            <v>1700900</v>
          </cell>
          <cell r="B61" t="str">
            <v xml:space="preserve">쌀          엿                </v>
          </cell>
          <cell r="C61">
            <v>30.9</v>
          </cell>
          <cell r="D61">
            <v>4332.24</v>
          </cell>
          <cell r="E61">
            <v>14.020200000000001</v>
          </cell>
        </row>
        <row r="62">
          <cell r="A62">
            <v>800024</v>
          </cell>
          <cell r="B62" t="str">
            <v xml:space="preserve">맥아물엿１．２ＫＧ            </v>
          </cell>
          <cell r="C62">
            <v>47.32</v>
          </cell>
          <cell r="D62">
            <v>3924.12</v>
          </cell>
          <cell r="E62">
            <v>8.2924799999999994</v>
          </cell>
        </row>
        <row r="63">
          <cell r="A63">
            <v>800025</v>
          </cell>
          <cell r="B63" t="str">
            <v xml:space="preserve">맥아물엿２．４５ＫＧ          </v>
          </cell>
          <cell r="C63">
            <v>43.93</v>
          </cell>
          <cell r="D63">
            <v>3601.99</v>
          </cell>
          <cell r="E63">
            <v>8.19895</v>
          </cell>
        </row>
        <row r="64">
          <cell r="A64">
            <v>1701101</v>
          </cell>
          <cell r="B64" t="str">
            <v xml:space="preserve">물      엿 （가）             </v>
          </cell>
          <cell r="C64">
            <v>45.64</v>
          </cell>
          <cell r="D64">
            <v>7526.11</v>
          </cell>
          <cell r="E64">
            <v>16.491430000000001</v>
          </cell>
        </row>
        <row r="65">
          <cell r="A65">
            <v>1701100</v>
          </cell>
          <cell r="B65" t="str">
            <v xml:space="preserve">물          엿                </v>
          </cell>
          <cell r="C65">
            <v>45.64</v>
          </cell>
          <cell r="D65">
            <v>7526.11</v>
          </cell>
          <cell r="E65">
            <v>16.491430000000001</v>
          </cell>
        </row>
        <row r="66">
          <cell r="A66">
            <v>800152</v>
          </cell>
          <cell r="B66" t="str">
            <v xml:space="preserve">요리조청１．２ＫＧ            </v>
          </cell>
          <cell r="C66">
            <v>19.149999999999999</v>
          </cell>
          <cell r="D66">
            <v>696.7</v>
          </cell>
          <cell r="E66">
            <v>3.6379200000000003</v>
          </cell>
        </row>
        <row r="67">
          <cell r="A67">
            <v>1701301</v>
          </cell>
          <cell r="B67" t="str">
            <v xml:space="preserve">요 리 조 청（가）             </v>
          </cell>
          <cell r="C67">
            <v>19.149999999999999</v>
          </cell>
          <cell r="D67">
            <v>696.7</v>
          </cell>
          <cell r="E67">
            <v>3.6379200000000003</v>
          </cell>
        </row>
        <row r="68">
          <cell r="A68">
            <v>1701300</v>
          </cell>
          <cell r="B68" t="str">
            <v xml:space="preserve">요　리　조　청                </v>
          </cell>
          <cell r="C68">
            <v>19.149999999999999</v>
          </cell>
          <cell r="D68">
            <v>696.7</v>
          </cell>
          <cell r="E68">
            <v>3.6379200000000003</v>
          </cell>
        </row>
        <row r="69">
          <cell r="A69">
            <v>1700000</v>
          </cell>
          <cell r="B69" t="str">
            <v xml:space="preserve">당          류                </v>
          </cell>
          <cell r="C69">
            <v>36.6</v>
          </cell>
          <cell r="D69">
            <v>14103.41</v>
          </cell>
          <cell r="E69">
            <v>38.536749999999998</v>
          </cell>
        </row>
        <row r="70">
          <cell r="A70">
            <v>1929</v>
          </cell>
          <cell r="B70" t="str">
            <v xml:space="preserve">０２정성세트／월마트          </v>
          </cell>
          <cell r="C70">
            <v>17.350000000000001</v>
          </cell>
          <cell r="D70">
            <v>-2.02</v>
          </cell>
          <cell r="E70">
            <v>-1.1650000000000001E-2</v>
          </cell>
        </row>
        <row r="71">
          <cell r="A71">
            <v>1900124</v>
          </cell>
          <cell r="B71" t="str">
            <v xml:space="preserve">０２ 정 성 세 트              </v>
          </cell>
          <cell r="C71">
            <v>17.350000000000001</v>
          </cell>
          <cell r="D71">
            <v>-2.02</v>
          </cell>
          <cell r="E71">
            <v>-1.1650000000000001E-2</v>
          </cell>
        </row>
        <row r="72">
          <cell r="A72">
            <v>1880</v>
          </cell>
          <cell r="B72" t="str">
            <v xml:space="preserve">특선１호/０２－０３           </v>
          </cell>
          <cell r="C72">
            <v>40.630000000000003</v>
          </cell>
          <cell r="D72">
            <v>-5719.28</v>
          </cell>
          <cell r="E72">
            <v>-14.075280000000001</v>
          </cell>
        </row>
        <row r="73">
          <cell r="A73">
            <v>1884</v>
          </cell>
          <cell r="B73" t="str">
            <v xml:space="preserve">청정원３호／０２－０３        </v>
          </cell>
          <cell r="C73">
            <v>43.65</v>
          </cell>
          <cell r="D73">
            <v>-454.06</v>
          </cell>
          <cell r="E73">
            <v>-1.0402499999999999</v>
          </cell>
        </row>
        <row r="74">
          <cell r="A74">
            <v>1887</v>
          </cell>
          <cell r="B74" t="str">
            <v xml:space="preserve">청정원알뜰세트／０２－０３    </v>
          </cell>
          <cell r="C74">
            <v>17.79</v>
          </cell>
          <cell r="D74">
            <v>-18.12</v>
          </cell>
          <cell r="E74">
            <v>-0.10188</v>
          </cell>
        </row>
        <row r="75">
          <cell r="A75">
            <v>1897</v>
          </cell>
          <cell r="B75" t="str">
            <v xml:space="preserve">스페셜２호／０２－０３        </v>
          </cell>
          <cell r="C75">
            <v>42.03</v>
          </cell>
          <cell r="D75">
            <v>-271.51</v>
          </cell>
          <cell r="E75">
            <v>-0.64600000000000002</v>
          </cell>
        </row>
        <row r="76">
          <cell r="A76">
            <v>1900125</v>
          </cell>
          <cell r="B76" t="str">
            <v xml:space="preserve">０２ 종 합 세 트              </v>
          </cell>
          <cell r="C76">
            <v>40.74</v>
          </cell>
          <cell r="D76">
            <v>-6462.97</v>
          </cell>
          <cell r="E76">
            <v>-15.86341</v>
          </cell>
        </row>
        <row r="77">
          <cell r="A77">
            <v>1900100</v>
          </cell>
          <cell r="B77" t="str">
            <v xml:space="preserve">당  사  세  트                </v>
          </cell>
          <cell r="C77">
            <v>40.72</v>
          </cell>
          <cell r="D77">
            <v>-6464.99</v>
          </cell>
          <cell r="E77">
            <v>-15.87506</v>
          </cell>
        </row>
        <row r="78">
          <cell r="A78">
            <v>1900000</v>
          </cell>
          <cell r="B78" t="str">
            <v xml:space="preserve">당 사 세 트 류                </v>
          </cell>
          <cell r="C78">
            <v>40.72</v>
          </cell>
          <cell r="D78">
            <v>-6464.99</v>
          </cell>
          <cell r="E78">
            <v>-15.87506</v>
          </cell>
        </row>
        <row r="79">
          <cell r="A79">
            <v>880121</v>
          </cell>
          <cell r="B79" t="str">
            <v>찰고추장비닐５００Ｇ　　　　　</v>
          </cell>
          <cell r="C79">
            <v>45.26</v>
          </cell>
          <cell r="D79">
            <v>6241.54</v>
          </cell>
          <cell r="E79">
            <v>13.789440000000001</v>
          </cell>
        </row>
        <row r="80">
          <cell r="A80">
            <v>880134</v>
          </cell>
          <cell r="B80" t="str">
            <v>찰고추장사각１ＫＧ　　　　　　</v>
          </cell>
          <cell r="C80">
            <v>44.14</v>
          </cell>
          <cell r="D80">
            <v>4236.3599999999997</v>
          </cell>
          <cell r="E80">
            <v>9.5975999999999999</v>
          </cell>
        </row>
        <row r="81">
          <cell r="A81">
            <v>880148</v>
          </cell>
          <cell r="B81" t="str">
            <v xml:space="preserve">찰고추장사각３ＫＧ　　　　    </v>
          </cell>
          <cell r="C81">
            <v>39.340000000000003</v>
          </cell>
          <cell r="D81">
            <v>51592.46</v>
          </cell>
          <cell r="E81">
            <v>131.15255999999999</v>
          </cell>
        </row>
        <row r="82">
          <cell r="A82">
            <v>880152</v>
          </cell>
          <cell r="B82" t="str">
            <v xml:space="preserve">찰고추장비닐９００Ｇ　　　　  </v>
          </cell>
          <cell r="C82">
            <v>43.77</v>
          </cell>
          <cell r="D82">
            <v>6897.24</v>
          </cell>
          <cell r="E82">
            <v>15.7584</v>
          </cell>
        </row>
        <row r="83">
          <cell r="A83">
            <v>880162</v>
          </cell>
          <cell r="B83" t="str">
            <v xml:space="preserve">찰고추장원통２ＫＧ            </v>
          </cell>
          <cell r="C83">
            <v>39.049999999999997</v>
          </cell>
          <cell r="D83">
            <v>1714.07</v>
          </cell>
          <cell r="E83">
            <v>4.3896000000000006</v>
          </cell>
        </row>
        <row r="84">
          <cell r="A84">
            <v>880163</v>
          </cell>
          <cell r="B84" t="str">
            <v xml:space="preserve">찰고추장원통１．４ＫＧ        </v>
          </cell>
          <cell r="C84">
            <v>38.67</v>
          </cell>
          <cell r="D84">
            <v>3445.2</v>
          </cell>
          <cell r="E84">
            <v>8.91</v>
          </cell>
        </row>
        <row r="85">
          <cell r="A85">
            <v>880165</v>
          </cell>
          <cell r="B85" t="str">
            <v xml:space="preserve">찰고추장원통５．３ＫＧ        </v>
          </cell>
          <cell r="C85">
            <v>35.08</v>
          </cell>
          <cell r="D85">
            <v>317.5</v>
          </cell>
          <cell r="E85">
            <v>0.9052</v>
          </cell>
        </row>
        <row r="86">
          <cell r="A86">
            <v>880175</v>
          </cell>
          <cell r="B86" t="str">
            <v xml:space="preserve">초고추장튜브３１０Ｇ          </v>
          </cell>
          <cell r="C86">
            <v>37.35</v>
          </cell>
          <cell r="D86">
            <v>3177.54</v>
          </cell>
          <cell r="E86">
            <v>8.5068000000000001</v>
          </cell>
        </row>
        <row r="87">
          <cell r="A87">
            <v>880176</v>
          </cell>
          <cell r="B87" t="str">
            <v xml:space="preserve">초고추장튜브５３０Ｇ          </v>
          </cell>
          <cell r="C87">
            <v>39.299999999999997</v>
          </cell>
          <cell r="D87">
            <v>5232.24</v>
          </cell>
          <cell r="E87">
            <v>13.312799999999999</v>
          </cell>
        </row>
        <row r="88">
          <cell r="A88">
            <v>880247</v>
          </cell>
          <cell r="B88" t="str">
            <v xml:space="preserve">찰고추장２ＫＧ／이마트        </v>
          </cell>
          <cell r="C88">
            <v>30.48</v>
          </cell>
          <cell r="D88">
            <v>23.04</v>
          </cell>
          <cell r="E88">
            <v>7.5600000000000001E-2</v>
          </cell>
        </row>
        <row r="89">
          <cell r="A89">
            <v>880254</v>
          </cell>
          <cell r="B89" t="str">
            <v xml:space="preserve">e햇고추장사각２ＫＧ           </v>
          </cell>
          <cell r="C89">
            <v>32.049999999999997</v>
          </cell>
          <cell r="D89">
            <v>1425.4</v>
          </cell>
          <cell r="E89">
            <v>4.4476000000000004</v>
          </cell>
        </row>
        <row r="90">
          <cell r="A90">
            <v>880261</v>
          </cell>
          <cell r="B90" t="str">
            <v>찰고추장１ＫＧ＋콩된장１７０Ｇ</v>
          </cell>
          <cell r="C90">
            <v>35.630000000000003</v>
          </cell>
          <cell r="D90">
            <v>3507.6</v>
          </cell>
          <cell r="E90">
            <v>9.8436000000000003</v>
          </cell>
        </row>
        <row r="91">
          <cell r="A91">
            <v>880266</v>
          </cell>
          <cell r="B91" t="str">
            <v xml:space="preserve">찰고추장２．８ＫＧ            </v>
          </cell>
          <cell r="C91">
            <v>24.4</v>
          </cell>
          <cell r="D91">
            <v>626</v>
          </cell>
          <cell r="E91">
            <v>2.5659999999999998</v>
          </cell>
        </row>
        <row r="92">
          <cell r="A92">
            <v>880270</v>
          </cell>
          <cell r="B92" t="str">
            <v>찰고추장１ＫＧ＋매고추１８０Ｇ</v>
          </cell>
          <cell r="C92">
            <v>34.409999999999997</v>
          </cell>
          <cell r="D92">
            <v>3563.52</v>
          </cell>
          <cell r="E92">
            <v>10.356479999999999</v>
          </cell>
        </row>
        <row r="93">
          <cell r="A93">
            <v>880273</v>
          </cell>
          <cell r="B93" t="str">
            <v xml:space="preserve">ｅ순창햇고추장３ＫＧ          </v>
          </cell>
          <cell r="C93">
            <v>26.37</v>
          </cell>
          <cell r="D93">
            <v>39358.5</v>
          </cell>
          <cell r="E93">
            <v>149.27549999999999</v>
          </cell>
        </row>
        <row r="94">
          <cell r="A94">
            <v>3030101</v>
          </cell>
          <cell r="B94" t="str">
            <v xml:space="preserve">고  추  장 （가）             </v>
          </cell>
          <cell r="C94">
            <v>34.31</v>
          </cell>
          <cell r="D94">
            <v>131358.21</v>
          </cell>
          <cell r="E94">
            <v>382.88718</v>
          </cell>
        </row>
        <row r="95">
          <cell r="A95">
            <v>601034</v>
          </cell>
          <cell r="B95" t="str">
            <v xml:space="preserve">명품고추장캔１４ＫＧ          </v>
          </cell>
          <cell r="C95">
            <v>30.76</v>
          </cell>
          <cell r="D95">
            <v>2231.21</v>
          </cell>
          <cell r="E95">
            <v>7.2532899999999998</v>
          </cell>
        </row>
        <row r="96">
          <cell r="A96">
            <v>881101</v>
          </cell>
          <cell r="B96" t="str">
            <v xml:space="preserve">찰고추장캔１４ＫＧ            </v>
          </cell>
          <cell r="C96">
            <v>36.19</v>
          </cell>
          <cell r="D96">
            <v>393.24</v>
          </cell>
          <cell r="E96">
            <v>1.0866900000000002</v>
          </cell>
        </row>
        <row r="97">
          <cell r="A97">
            <v>881102</v>
          </cell>
          <cell r="B97" t="str">
            <v xml:space="preserve">진고추장캔１４ＫＧ            </v>
          </cell>
          <cell r="C97">
            <v>25.79</v>
          </cell>
          <cell r="D97">
            <v>744.48</v>
          </cell>
          <cell r="E97">
            <v>2.8872</v>
          </cell>
        </row>
        <row r="98">
          <cell r="A98">
            <v>3030103</v>
          </cell>
          <cell r="B98" t="str">
            <v xml:space="preserve">고  추  장 （업）             </v>
          </cell>
          <cell r="C98">
            <v>30.01</v>
          </cell>
          <cell r="D98">
            <v>3368.92</v>
          </cell>
          <cell r="E98">
            <v>11.227180000000001</v>
          </cell>
        </row>
        <row r="99">
          <cell r="A99">
            <v>880200</v>
          </cell>
          <cell r="B99" t="str">
            <v xml:space="preserve">매운고추장사각５００Ｇ        </v>
          </cell>
          <cell r="C99">
            <v>45.27</v>
          </cell>
          <cell r="D99">
            <v>5637.84</v>
          </cell>
          <cell r="E99">
            <v>12.4544</v>
          </cell>
        </row>
        <row r="100">
          <cell r="A100">
            <v>880202</v>
          </cell>
          <cell r="B100" t="str">
            <v xml:space="preserve">매운고추장사각１ＫＧ          </v>
          </cell>
          <cell r="C100">
            <v>39.11</v>
          </cell>
          <cell r="D100">
            <v>4084.42</v>
          </cell>
          <cell r="E100">
            <v>10.44346</v>
          </cell>
        </row>
        <row r="101">
          <cell r="A101">
            <v>880208</v>
          </cell>
          <cell r="B101" t="str">
            <v xml:space="preserve">매운고추장원통７ＫＧ          </v>
          </cell>
          <cell r="C101">
            <v>43.72</v>
          </cell>
          <cell r="D101">
            <v>3478</v>
          </cell>
          <cell r="E101">
            <v>7.9550000000000001</v>
          </cell>
        </row>
        <row r="102">
          <cell r="A102">
            <v>880217</v>
          </cell>
          <cell r="B102" t="str">
            <v>매운고추장１ＫＧ＋콩된장＋쌈장</v>
          </cell>
          <cell r="C102">
            <v>24.61</v>
          </cell>
          <cell r="D102">
            <v>597.84</v>
          </cell>
          <cell r="E102">
            <v>2.4295200000000001</v>
          </cell>
        </row>
        <row r="103">
          <cell r="A103">
            <v>3030105</v>
          </cell>
          <cell r="B103" t="str">
            <v xml:space="preserve">매  운  고 추 장              </v>
          </cell>
          <cell r="C103">
            <v>41.46</v>
          </cell>
          <cell r="D103">
            <v>13798.1</v>
          </cell>
          <cell r="E103">
            <v>33.282379999999996</v>
          </cell>
        </row>
        <row r="104">
          <cell r="A104">
            <v>881160</v>
          </cell>
          <cell r="B104" t="str">
            <v xml:space="preserve">순한고추장사각５００Ｇ        </v>
          </cell>
          <cell r="C104">
            <v>56.25</v>
          </cell>
          <cell r="D104">
            <v>100.8</v>
          </cell>
          <cell r="E104">
            <v>0.1792</v>
          </cell>
        </row>
        <row r="105">
          <cell r="A105">
            <v>3030106</v>
          </cell>
          <cell r="B105" t="str">
            <v xml:space="preserve">순 한 고 추 장                </v>
          </cell>
          <cell r="C105">
            <v>56.25</v>
          </cell>
          <cell r="D105">
            <v>100.8</v>
          </cell>
          <cell r="E105">
            <v>0.1792</v>
          </cell>
        </row>
        <row r="106">
          <cell r="A106">
            <v>3030100</v>
          </cell>
          <cell r="B106" t="str">
            <v xml:space="preserve">고    추    장                </v>
          </cell>
          <cell r="C106">
            <v>34.76</v>
          </cell>
          <cell r="D106">
            <v>148626.03</v>
          </cell>
          <cell r="E106">
            <v>427.57594</v>
          </cell>
        </row>
        <row r="107">
          <cell r="A107">
            <v>600960</v>
          </cell>
          <cell r="B107" t="str">
            <v xml:space="preserve">순창된장비닐５００Ｇ          </v>
          </cell>
          <cell r="C107">
            <v>41.88</v>
          </cell>
          <cell r="D107">
            <v>2875.1</v>
          </cell>
          <cell r="E107">
            <v>6.86592</v>
          </cell>
        </row>
        <row r="108">
          <cell r="A108">
            <v>880985</v>
          </cell>
          <cell r="B108" t="str">
            <v xml:space="preserve">순창된장사각１ＫＧ            </v>
          </cell>
          <cell r="C108">
            <v>39.880000000000003</v>
          </cell>
          <cell r="D108">
            <v>1918.8</v>
          </cell>
          <cell r="E108">
            <v>4.8117600000000005</v>
          </cell>
        </row>
        <row r="109">
          <cell r="A109">
            <v>880988</v>
          </cell>
          <cell r="B109" t="str">
            <v xml:space="preserve">햇살된장에발４５０Ｇ          </v>
          </cell>
          <cell r="C109">
            <v>38.71</v>
          </cell>
          <cell r="D109">
            <v>1092.67</v>
          </cell>
          <cell r="E109">
            <v>2.8224</v>
          </cell>
        </row>
        <row r="110">
          <cell r="A110">
            <v>880991</v>
          </cell>
          <cell r="B110" t="str">
            <v xml:space="preserve">순창된장원통２ＫＧ            </v>
          </cell>
          <cell r="C110">
            <v>32.799999999999997</v>
          </cell>
          <cell r="D110">
            <v>3412.51</v>
          </cell>
          <cell r="E110">
            <v>10.404</v>
          </cell>
        </row>
        <row r="111">
          <cell r="A111">
            <v>3030301</v>
          </cell>
          <cell r="B111" t="str">
            <v xml:space="preserve">된      장 （가）             </v>
          </cell>
          <cell r="C111">
            <v>37.340000000000003</v>
          </cell>
          <cell r="D111">
            <v>9299.09</v>
          </cell>
          <cell r="E111">
            <v>24.90408</v>
          </cell>
        </row>
        <row r="112">
          <cell r="A112">
            <v>600962</v>
          </cell>
          <cell r="B112" t="str">
            <v xml:space="preserve">순창된장지함１４ＫＧ          </v>
          </cell>
          <cell r="C112">
            <v>26.35</v>
          </cell>
          <cell r="D112">
            <v>1972.11</v>
          </cell>
          <cell r="E112">
            <v>7.48353</v>
          </cell>
        </row>
        <row r="113">
          <cell r="A113">
            <v>3030303</v>
          </cell>
          <cell r="B113" t="str">
            <v xml:space="preserve">된      장 （업）             </v>
          </cell>
          <cell r="C113">
            <v>26.35</v>
          </cell>
          <cell r="D113">
            <v>1972.11</v>
          </cell>
          <cell r="E113">
            <v>7.48353</v>
          </cell>
        </row>
        <row r="114">
          <cell r="A114">
            <v>880402</v>
          </cell>
          <cell r="B114" t="str">
            <v xml:space="preserve">순창콩된장９００Ｇ            </v>
          </cell>
          <cell r="C114">
            <v>44.41</v>
          </cell>
          <cell r="D114">
            <v>6328.7</v>
          </cell>
          <cell r="E114">
            <v>14.250819999999999</v>
          </cell>
        </row>
        <row r="115">
          <cell r="A115">
            <v>880406</v>
          </cell>
          <cell r="B115" t="str">
            <v xml:space="preserve">콩된장９００Ｇ＋매운１８０Ｇ  </v>
          </cell>
          <cell r="C115">
            <v>34.81</v>
          </cell>
          <cell r="D115">
            <v>1218.24</v>
          </cell>
          <cell r="E115">
            <v>3.4991999999999996</v>
          </cell>
        </row>
        <row r="116">
          <cell r="A116">
            <v>3030305</v>
          </cell>
          <cell r="B116" t="str">
            <v xml:space="preserve">콩     된     장              </v>
          </cell>
          <cell r="C116">
            <v>42.52</v>
          </cell>
          <cell r="D116">
            <v>7546.94</v>
          </cell>
          <cell r="E116">
            <v>17.750019999999999</v>
          </cell>
        </row>
        <row r="117">
          <cell r="A117">
            <v>3030300</v>
          </cell>
          <cell r="B117" t="str">
            <v xml:space="preserve">된　        장                </v>
          </cell>
          <cell r="C117">
            <v>37.53</v>
          </cell>
          <cell r="D117">
            <v>18818.150000000001</v>
          </cell>
          <cell r="E117">
            <v>50.137629999999994</v>
          </cell>
        </row>
        <row r="118">
          <cell r="A118">
            <v>881017</v>
          </cell>
          <cell r="B118" t="str">
            <v xml:space="preserve">순창쌈장비닐５００Ｇ　　　　  </v>
          </cell>
          <cell r="C118">
            <v>51.09</v>
          </cell>
          <cell r="D118">
            <v>4500.72</v>
          </cell>
          <cell r="E118">
            <v>8.80992</v>
          </cell>
        </row>
        <row r="119">
          <cell r="A119">
            <v>881020</v>
          </cell>
          <cell r="B119" t="str">
            <v xml:space="preserve">순창쌈장사각５００Ｇ          </v>
          </cell>
          <cell r="C119">
            <v>52.71</v>
          </cell>
          <cell r="D119">
            <v>11901.12</v>
          </cell>
          <cell r="E119">
            <v>22.5792</v>
          </cell>
        </row>
        <row r="120">
          <cell r="A120">
            <v>881021</v>
          </cell>
          <cell r="B120" t="str">
            <v xml:space="preserve">순창쌈장사각１ＫＧ            </v>
          </cell>
          <cell r="C120">
            <v>45.41</v>
          </cell>
          <cell r="D120">
            <v>6000.54</v>
          </cell>
          <cell r="E120">
            <v>13.213200000000001</v>
          </cell>
        </row>
        <row r="121">
          <cell r="A121">
            <v>881027</v>
          </cell>
          <cell r="B121" t="str">
            <v xml:space="preserve">순창쌈장원통２ＫＧ            </v>
          </cell>
          <cell r="C121">
            <v>42.78</v>
          </cell>
          <cell r="D121">
            <v>3092.64</v>
          </cell>
          <cell r="E121">
            <v>7.2297600000000006</v>
          </cell>
        </row>
        <row r="122">
          <cell r="A122">
            <v>3030501</v>
          </cell>
          <cell r="B122" t="str">
            <v xml:space="preserve">쌈      장 （가）             </v>
          </cell>
          <cell r="C122">
            <v>49.19</v>
          </cell>
          <cell r="D122">
            <v>25495.02</v>
          </cell>
          <cell r="E122">
            <v>51.832080000000005</v>
          </cell>
        </row>
        <row r="123">
          <cell r="A123">
            <v>981018</v>
          </cell>
          <cell r="B123" t="str">
            <v xml:space="preserve">순창쌈장캔１４ＫＧ            </v>
          </cell>
          <cell r="C123">
            <v>31</v>
          </cell>
          <cell r="D123">
            <v>317.3</v>
          </cell>
          <cell r="E123">
            <v>1.0236499999999999</v>
          </cell>
        </row>
        <row r="124">
          <cell r="A124">
            <v>3030503</v>
          </cell>
          <cell r="B124" t="str">
            <v xml:space="preserve">쌈      장 （업）             </v>
          </cell>
          <cell r="C124">
            <v>31</v>
          </cell>
          <cell r="D124">
            <v>317.3</v>
          </cell>
          <cell r="E124">
            <v>1.0236499999999999</v>
          </cell>
        </row>
        <row r="125">
          <cell r="A125">
            <v>3030500</v>
          </cell>
          <cell r="B125" t="str">
            <v xml:space="preserve">쌈　        장                </v>
          </cell>
          <cell r="C125">
            <v>48.84</v>
          </cell>
          <cell r="D125">
            <v>25812.32</v>
          </cell>
          <cell r="E125">
            <v>52.855730000000001</v>
          </cell>
        </row>
        <row r="126">
          <cell r="A126">
            <v>603014</v>
          </cell>
          <cell r="B126" t="str">
            <v xml:space="preserve">햇살조림간장９８０Ｇ          </v>
          </cell>
          <cell r="C126">
            <v>53.25</v>
          </cell>
          <cell r="D126">
            <v>10479.6</v>
          </cell>
          <cell r="E126">
            <v>19.68</v>
          </cell>
        </row>
        <row r="127">
          <cell r="A127">
            <v>603018</v>
          </cell>
          <cell r="B127" t="str">
            <v xml:space="preserve">햇살조림간장１．７Ｌ          </v>
          </cell>
          <cell r="C127">
            <v>38.42</v>
          </cell>
          <cell r="D127">
            <v>6459.04</v>
          </cell>
          <cell r="E127">
            <v>16.811199999999999</v>
          </cell>
        </row>
        <row r="128">
          <cell r="A128">
            <v>3030705</v>
          </cell>
          <cell r="B128" t="str">
            <v xml:space="preserve">햇  살    조  림              </v>
          </cell>
          <cell r="C128">
            <v>46.42</v>
          </cell>
          <cell r="D128">
            <v>16938.64</v>
          </cell>
          <cell r="E128">
            <v>36.491199999999999</v>
          </cell>
        </row>
        <row r="129">
          <cell r="A129">
            <v>603102</v>
          </cell>
          <cell r="B129" t="str">
            <v xml:space="preserve">햇살소스간장４８５Ｇ          </v>
          </cell>
          <cell r="C129">
            <v>43.36</v>
          </cell>
          <cell r="D129">
            <v>870.05</v>
          </cell>
          <cell r="E129">
            <v>2.0064000000000002</v>
          </cell>
        </row>
        <row r="130">
          <cell r="A130">
            <v>3030707</v>
          </cell>
          <cell r="B130" t="str">
            <v xml:space="preserve">햇  살    소  스              </v>
          </cell>
          <cell r="C130">
            <v>43.36</v>
          </cell>
          <cell r="D130">
            <v>870.05</v>
          </cell>
          <cell r="E130">
            <v>2.0064000000000002</v>
          </cell>
        </row>
        <row r="131">
          <cell r="A131">
            <v>603152</v>
          </cell>
          <cell r="B131" t="str">
            <v xml:space="preserve">햇살국간장９９０Ｇ            </v>
          </cell>
          <cell r="C131">
            <v>34.68</v>
          </cell>
          <cell r="D131">
            <v>2063.9899999999998</v>
          </cell>
          <cell r="E131">
            <v>5.9508000000000001</v>
          </cell>
        </row>
        <row r="132">
          <cell r="A132">
            <v>3030709</v>
          </cell>
          <cell r="B132" t="str">
            <v xml:space="preserve">햇  살        국              </v>
          </cell>
          <cell r="C132">
            <v>34.68</v>
          </cell>
          <cell r="D132">
            <v>2063.9899999999998</v>
          </cell>
          <cell r="E132">
            <v>5.9508000000000001</v>
          </cell>
        </row>
        <row r="133">
          <cell r="A133">
            <v>603176</v>
          </cell>
          <cell r="B133" t="str">
            <v xml:space="preserve">햇살진간장１．７Ｌ            </v>
          </cell>
          <cell r="C133">
            <v>39.29</v>
          </cell>
          <cell r="D133">
            <v>44.48</v>
          </cell>
          <cell r="E133">
            <v>0.11320000000000001</v>
          </cell>
        </row>
        <row r="134">
          <cell r="A134">
            <v>603192</v>
          </cell>
          <cell r="B134" t="str">
            <v xml:space="preserve">햇살진간장３．６Ｌ            </v>
          </cell>
          <cell r="C134">
            <v>39</v>
          </cell>
          <cell r="D134">
            <v>1913.18</v>
          </cell>
          <cell r="E134">
            <v>4.9056000000000006</v>
          </cell>
        </row>
        <row r="135">
          <cell r="A135">
            <v>603199</v>
          </cell>
          <cell r="B135" t="str">
            <v xml:space="preserve">햇살진１．７Ｌ＋물엿７００Ｇ  </v>
          </cell>
          <cell r="C135">
            <v>41.34</v>
          </cell>
          <cell r="D135">
            <v>93.6</v>
          </cell>
          <cell r="E135">
            <v>0.22640000000000002</v>
          </cell>
        </row>
        <row r="136">
          <cell r="A136">
            <v>603232</v>
          </cell>
          <cell r="B136" t="str">
            <v xml:space="preserve">햇살진１．７Ｌ＋진４２０ＭＬ  </v>
          </cell>
          <cell r="C136">
            <v>21.91</v>
          </cell>
          <cell r="D136">
            <v>15921.6</v>
          </cell>
          <cell r="E136">
            <v>72.674399999999991</v>
          </cell>
        </row>
        <row r="137">
          <cell r="A137">
            <v>3030711</v>
          </cell>
          <cell r="B137" t="str">
            <v xml:space="preserve">햇  살        진              </v>
          </cell>
          <cell r="C137">
            <v>23.07</v>
          </cell>
          <cell r="D137">
            <v>17972.86</v>
          </cell>
          <cell r="E137">
            <v>77.919600000000003</v>
          </cell>
        </row>
        <row r="138">
          <cell r="A138">
            <v>603185</v>
          </cell>
          <cell r="B138" t="str">
            <v xml:space="preserve">햇살양조간장１Ｌ              </v>
          </cell>
          <cell r="C138">
            <v>48.51</v>
          </cell>
          <cell r="D138">
            <v>-60.02</v>
          </cell>
          <cell r="E138">
            <v>-0.12372</v>
          </cell>
        </row>
        <row r="139">
          <cell r="A139">
            <v>603254</v>
          </cell>
          <cell r="B139" t="str">
            <v xml:space="preserve">양조１Ｌ＋양조２０５ＭＬ      </v>
          </cell>
          <cell r="C139">
            <v>35.4</v>
          </cell>
          <cell r="D139">
            <v>51.3</v>
          </cell>
          <cell r="E139">
            <v>0.1449</v>
          </cell>
        </row>
        <row r="140">
          <cell r="A140">
            <v>3030712</v>
          </cell>
          <cell r="B140" t="str">
            <v xml:space="preserve">햇  살    양  조              </v>
          </cell>
          <cell r="C140">
            <v>-41.2</v>
          </cell>
          <cell r="D140">
            <v>-8.7200000000000006</v>
          </cell>
          <cell r="E140">
            <v>2.1180000000000001E-2</v>
          </cell>
        </row>
        <row r="141">
          <cell r="A141">
            <v>603200</v>
          </cell>
          <cell r="B141" t="str">
            <v xml:space="preserve">햇살매실간장１Ｌ／이마트      </v>
          </cell>
          <cell r="C141">
            <v>11.49</v>
          </cell>
          <cell r="D141">
            <v>4439.3500000000004</v>
          </cell>
          <cell r="E141">
            <v>38.634740000000001</v>
          </cell>
        </row>
        <row r="142">
          <cell r="A142">
            <v>603201</v>
          </cell>
          <cell r="B142" t="str">
            <v xml:space="preserve">햇살매실간장１．７Ｌ／이마트  </v>
          </cell>
          <cell r="C142">
            <v>36.130000000000003</v>
          </cell>
          <cell r="D142">
            <v>1623.43</v>
          </cell>
          <cell r="E142">
            <v>4.4936400000000001</v>
          </cell>
        </row>
        <row r="143">
          <cell r="A143">
            <v>3030717</v>
          </cell>
          <cell r="B143" t="str">
            <v xml:space="preserve">햇  살    매  실              </v>
          </cell>
          <cell r="C143">
            <v>14.06</v>
          </cell>
          <cell r="D143">
            <v>6062.78</v>
          </cell>
          <cell r="E143">
            <v>43.12838</v>
          </cell>
        </row>
        <row r="144">
          <cell r="A144">
            <v>3030700</v>
          </cell>
          <cell r="B144" t="str">
            <v xml:space="preserve">간　        장                </v>
          </cell>
          <cell r="C144">
            <v>26.52</v>
          </cell>
          <cell r="D144">
            <v>43899.6</v>
          </cell>
          <cell r="E144">
            <v>165.51756</v>
          </cell>
        </row>
        <row r="145">
          <cell r="A145">
            <v>3030000</v>
          </cell>
          <cell r="B145" t="str">
            <v xml:space="preserve">장　        류                </v>
          </cell>
          <cell r="C145">
            <v>34.07</v>
          </cell>
          <cell r="D145">
            <v>237156.1</v>
          </cell>
          <cell r="E145">
            <v>696.08685000000003</v>
          </cell>
        </row>
        <row r="146">
          <cell r="A146">
            <v>880313</v>
          </cell>
          <cell r="B146" t="str">
            <v>민속당면골드８６０Ｇ　　　　　</v>
          </cell>
          <cell r="C146">
            <v>-12.87</v>
          </cell>
          <cell r="D146">
            <v>-1314.58</v>
          </cell>
          <cell r="E146">
            <v>10.211829999999999</v>
          </cell>
        </row>
        <row r="147">
          <cell r="A147">
            <v>3050101</v>
          </cell>
          <cell r="B147" t="str">
            <v xml:space="preserve">국    산  당  면              </v>
          </cell>
          <cell r="C147">
            <v>-12.87</v>
          </cell>
          <cell r="D147">
            <v>-1314.58</v>
          </cell>
          <cell r="E147">
            <v>10.211829999999999</v>
          </cell>
        </row>
        <row r="148">
          <cell r="A148">
            <v>880321</v>
          </cell>
          <cell r="B148" t="str">
            <v xml:space="preserve">수라당면５００Ｇ              </v>
          </cell>
          <cell r="C148">
            <v>20.54</v>
          </cell>
          <cell r="D148">
            <v>7414.72</v>
          </cell>
          <cell r="E148">
            <v>36.095999999999997</v>
          </cell>
        </row>
        <row r="149">
          <cell r="A149">
            <v>3050107</v>
          </cell>
          <cell r="B149" t="str">
            <v xml:space="preserve">청 정 원  당  면              </v>
          </cell>
          <cell r="C149">
            <v>20.54</v>
          </cell>
          <cell r="D149">
            <v>7414.72</v>
          </cell>
          <cell r="E149">
            <v>36.095999999999997</v>
          </cell>
        </row>
        <row r="150">
          <cell r="A150">
            <v>3050100</v>
          </cell>
          <cell r="B150" t="str">
            <v xml:space="preserve">당          면                </v>
          </cell>
          <cell r="C150">
            <v>13.17</v>
          </cell>
          <cell r="D150">
            <v>6100.14</v>
          </cell>
          <cell r="E150">
            <v>46.307830000000003</v>
          </cell>
        </row>
        <row r="151">
          <cell r="A151">
            <v>3050000</v>
          </cell>
          <cell r="B151" t="str">
            <v xml:space="preserve">면　        류                </v>
          </cell>
          <cell r="C151">
            <v>13.17</v>
          </cell>
          <cell r="D151">
            <v>6100.14</v>
          </cell>
          <cell r="E151">
            <v>46.307830000000003</v>
          </cell>
        </row>
        <row r="152">
          <cell r="A152">
            <v>880907</v>
          </cell>
          <cell r="B152" t="str">
            <v xml:space="preserve">양조식초ＰＥＴ１．８Ｌ        </v>
          </cell>
          <cell r="C152">
            <v>-5.53</v>
          </cell>
          <cell r="D152">
            <v>-199.23</v>
          </cell>
          <cell r="E152">
            <v>3.6031500000000003</v>
          </cell>
        </row>
        <row r="153">
          <cell r="A153">
            <v>880912</v>
          </cell>
          <cell r="B153" t="str">
            <v>사과식초１．８Ｌ　　　　　　　</v>
          </cell>
          <cell r="C153">
            <v>-2.84</v>
          </cell>
          <cell r="D153">
            <v>-95.04</v>
          </cell>
          <cell r="E153">
            <v>3.3479999999999999</v>
          </cell>
        </row>
        <row r="154">
          <cell r="A154">
            <v>880913</v>
          </cell>
          <cell r="B154" t="str">
            <v>사과식초５００ＭＬ　　　　　　</v>
          </cell>
          <cell r="C154">
            <v>10.16</v>
          </cell>
          <cell r="D154">
            <v>758.78</v>
          </cell>
          <cell r="E154">
            <v>7.4692799999999995</v>
          </cell>
        </row>
        <row r="155">
          <cell r="A155">
            <v>880915</v>
          </cell>
          <cell r="B155" t="str">
            <v xml:space="preserve">현미식초５００ＭＬ　　　      </v>
          </cell>
          <cell r="C155">
            <v>2.2999999999999998</v>
          </cell>
          <cell r="D155">
            <v>84.96</v>
          </cell>
          <cell r="E155">
            <v>3.6957600000000004</v>
          </cell>
        </row>
        <row r="156">
          <cell r="A156">
            <v>3070101</v>
          </cell>
          <cell r="B156" t="str">
            <v xml:space="preserve">식      초 （가）             </v>
          </cell>
          <cell r="C156">
            <v>3.03</v>
          </cell>
          <cell r="D156">
            <v>549.47</v>
          </cell>
          <cell r="E156">
            <v>18.11619</v>
          </cell>
        </row>
        <row r="157">
          <cell r="A157">
            <v>880951</v>
          </cell>
          <cell r="B157" t="str">
            <v xml:space="preserve">２배양조식초９００ＭＬ        </v>
          </cell>
          <cell r="C157">
            <v>9.1300000000000008</v>
          </cell>
          <cell r="D157">
            <v>171.7</v>
          </cell>
          <cell r="E157">
            <v>1.8815999999999999</v>
          </cell>
        </row>
        <row r="158">
          <cell r="A158">
            <v>881203</v>
          </cell>
          <cell r="B158" t="str">
            <v>２배사과９００ＭＬ＋양조５００</v>
          </cell>
          <cell r="C158">
            <v>13.14</v>
          </cell>
          <cell r="D158">
            <v>784.08</v>
          </cell>
          <cell r="E158">
            <v>5.9677199999999999</v>
          </cell>
        </row>
        <row r="159">
          <cell r="A159">
            <v>3070107</v>
          </cell>
          <cell r="B159" t="str">
            <v xml:space="preserve">２ 배 진 한 식초              </v>
          </cell>
          <cell r="C159">
            <v>12.18</v>
          </cell>
          <cell r="D159">
            <v>955.78</v>
          </cell>
          <cell r="E159">
            <v>7.8493199999999996</v>
          </cell>
        </row>
        <row r="160">
          <cell r="A160">
            <v>3070100</v>
          </cell>
          <cell r="B160" t="str">
            <v xml:space="preserve">식          초                </v>
          </cell>
          <cell r="C160">
            <v>5.8</v>
          </cell>
          <cell r="D160">
            <v>1505.25</v>
          </cell>
          <cell r="E160">
            <v>25.965509999999998</v>
          </cell>
        </row>
        <row r="161">
          <cell r="A161">
            <v>3070000</v>
          </cell>
          <cell r="B161" t="str">
            <v xml:space="preserve">식    초    류                </v>
          </cell>
          <cell r="C161">
            <v>5.8</v>
          </cell>
          <cell r="D161">
            <v>1505.25</v>
          </cell>
          <cell r="E161">
            <v>25.965509999999998</v>
          </cell>
        </row>
        <row r="162">
          <cell r="A162">
            <v>500436</v>
          </cell>
          <cell r="B162" t="str">
            <v xml:space="preserve">샐마요과일５００Ｇ            </v>
          </cell>
          <cell r="C162">
            <v>43.75</v>
          </cell>
          <cell r="D162">
            <v>1108.8</v>
          </cell>
          <cell r="E162">
            <v>2.5344000000000002</v>
          </cell>
        </row>
        <row r="163">
          <cell r="A163">
            <v>500437</v>
          </cell>
          <cell r="B163" t="str">
            <v xml:space="preserve">샐마요야채５００Ｇ            </v>
          </cell>
          <cell r="C163">
            <v>41.48</v>
          </cell>
          <cell r="D163">
            <v>1909.68</v>
          </cell>
          <cell r="E163">
            <v>4.6041600000000003</v>
          </cell>
        </row>
        <row r="164">
          <cell r="A164">
            <v>500438</v>
          </cell>
          <cell r="B164" t="str">
            <v xml:space="preserve">샐마요머스타드５１０Ｇ        </v>
          </cell>
          <cell r="C164">
            <v>44.89</v>
          </cell>
          <cell r="D164">
            <v>1061.76</v>
          </cell>
          <cell r="E164">
            <v>2.36544</v>
          </cell>
        </row>
        <row r="165">
          <cell r="A165">
            <v>500440</v>
          </cell>
          <cell r="B165" t="str">
            <v xml:space="preserve">마요５００케찹８００／이      </v>
          </cell>
          <cell r="C165">
            <v>10.89</v>
          </cell>
          <cell r="D165">
            <v>458.04</v>
          </cell>
          <cell r="E165">
            <v>4.2056400000000007</v>
          </cell>
        </row>
        <row r="166">
          <cell r="A166">
            <v>500451</v>
          </cell>
          <cell r="B166" t="str">
            <v xml:space="preserve">고소한마요네즈５００Ｇ        </v>
          </cell>
          <cell r="C166">
            <v>42.59</v>
          </cell>
          <cell r="D166">
            <v>2985.5</v>
          </cell>
          <cell r="E166">
            <v>7.0103</v>
          </cell>
        </row>
        <row r="167">
          <cell r="A167">
            <v>500452</v>
          </cell>
          <cell r="B167" t="str">
            <v xml:space="preserve">고소한마요네즈８００Ｇ        </v>
          </cell>
          <cell r="C167">
            <v>31.17</v>
          </cell>
          <cell r="D167">
            <v>1337.04</v>
          </cell>
          <cell r="E167">
            <v>4.28904</v>
          </cell>
        </row>
        <row r="168">
          <cell r="A168">
            <v>4010101</v>
          </cell>
          <cell r="B168" t="str">
            <v xml:space="preserve">마 요 네 즈（가）             </v>
          </cell>
          <cell r="C168">
            <v>35.43</v>
          </cell>
          <cell r="D168">
            <v>8860.82</v>
          </cell>
          <cell r="E168">
            <v>25.008980000000001</v>
          </cell>
        </row>
        <row r="169">
          <cell r="A169">
            <v>500107</v>
          </cell>
          <cell r="B169" t="str">
            <v>마요네즈３．２ＫＧ　　　　　　</v>
          </cell>
          <cell r="C169">
            <v>20.329999999999998</v>
          </cell>
          <cell r="D169">
            <v>1031.6300000000001</v>
          </cell>
          <cell r="E169">
            <v>5.0736000000000008</v>
          </cell>
        </row>
        <row r="170">
          <cell r="A170">
            <v>500250</v>
          </cell>
          <cell r="B170" t="str">
            <v>마요네즈１ＫＧ　　　　　　　　</v>
          </cell>
          <cell r="C170">
            <v>13.79</v>
          </cell>
          <cell r="D170">
            <v>274</v>
          </cell>
          <cell r="E170">
            <v>1.9864999999999999</v>
          </cell>
        </row>
        <row r="171">
          <cell r="A171">
            <v>4010102</v>
          </cell>
          <cell r="B171" t="str">
            <v xml:space="preserve">마 요 네 즈（업）             </v>
          </cell>
          <cell r="C171">
            <v>18.489999999999998</v>
          </cell>
          <cell r="D171">
            <v>1305.6300000000001</v>
          </cell>
          <cell r="E171">
            <v>7.0601000000000003</v>
          </cell>
        </row>
        <row r="172">
          <cell r="A172">
            <v>4010100</v>
          </cell>
          <cell r="B172" t="str">
            <v xml:space="preserve">마  요  네  즈                </v>
          </cell>
          <cell r="C172">
            <v>31.7</v>
          </cell>
          <cell r="D172">
            <v>10166.459999999999</v>
          </cell>
          <cell r="E172">
            <v>32.06908</v>
          </cell>
        </row>
        <row r="173">
          <cell r="A173">
            <v>502001</v>
          </cell>
          <cell r="B173" t="str">
            <v>쇠고기죽８５Ｇ　　　　　　　　</v>
          </cell>
          <cell r="C173">
            <v>28.35</v>
          </cell>
          <cell r="D173">
            <v>870.48</v>
          </cell>
          <cell r="E173">
            <v>3.0700799999999999</v>
          </cell>
        </row>
        <row r="174">
          <cell r="A174">
            <v>502002</v>
          </cell>
          <cell r="B174" t="str">
            <v>진미죽８５Ｇ　　　　　　　　　</v>
          </cell>
          <cell r="C174">
            <v>37.5</v>
          </cell>
          <cell r="D174">
            <v>1170.96</v>
          </cell>
          <cell r="E174">
            <v>3.12256</v>
          </cell>
        </row>
        <row r="175">
          <cell r="A175">
            <v>4010201</v>
          </cell>
          <cell r="B175" t="str">
            <v xml:space="preserve">크 노 르  맛  죽              </v>
          </cell>
          <cell r="C175">
            <v>32.97</v>
          </cell>
          <cell r="D175">
            <v>2041.44</v>
          </cell>
          <cell r="E175">
            <v>6.1926399999999999</v>
          </cell>
        </row>
        <row r="176">
          <cell r="A176">
            <v>4010200</v>
          </cell>
          <cell r="B176" t="str">
            <v xml:space="preserve">맛          죽                </v>
          </cell>
          <cell r="C176">
            <v>32.97</v>
          </cell>
          <cell r="D176">
            <v>2041.44</v>
          </cell>
          <cell r="E176">
            <v>6.1926399999999999</v>
          </cell>
        </row>
        <row r="177">
          <cell r="A177">
            <v>503002</v>
          </cell>
          <cell r="B177" t="str">
            <v xml:space="preserve">양송이스프８０Ｇ              </v>
          </cell>
          <cell r="C177">
            <v>48.28</v>
          </cell>
          <cell r="D177">
            <v>1325.72</v>
          </cell>
          <cell r="E177">
            <v>2.7457600000000002</v>
          </cell>
        </row>
        <row r="178">
          <cell r="A178">
            <v>503007</v>
          </cell>
          <cell r="B178" t="str">
            <v>쇠고기스프８０Ｇ　　　　　　　</v>
          </cell>
          <cell r="C178">
            <v>46.37</v>
          </cell>
          <cell r="D178">
            <v>1681.56</v>
          </cell>
          <cell r="E178">
            <v>3.62608</v>
          </cell>
        </row>
        <row r="179">
          <cell r="A179">
            <v>503008</v>
          </cell>
          <cell r="B179" t="str">
            <v>옥수수스프８０Ｇ　　　　　　　</v>
          </cell>
          <cell r="C179">
            <v>50.38</v>
          </cell>
          <cell r="D179">
            <v>1098.24</v>
          </cell>
          <cell r="E179">
            <v>2.17984</v>
          </cell>
        </row>
        <row r="180">
          <cell r="A180">
            <v>503011</v>
          </cell>
          <cell r="B180" t="str">
            <v>쇠고기스프３００Ｇ　　　　　　</v>
          </cell>
          <cell r="C180">
            <v>33.700000000000003</v>
          </cell>
          <cell r="D180">
            <v>512.72</v>
          </cell>
          <cell r="E180">
            <v>1.52152</v>
          </cell>
        </row>
        <row r="181">
          <cell r="A181">
            <v>503017</v>
          </cell>
          <cell r="B181" t="str">
            <v>쇠고기스프１ＫＧ　　　　　　　</v>
          </cell>
          <cell r="C181">
            <v>9.41</v>
          </cell>
          <cell r="D181">
            <v>222.65</v>
          </cell>
          <cell r="E181">
            <v>2.3651999999999997</v>
          </cell>
        </row>
        <row r="182">
          <cell r="A182">
            <v>503060</v>
          </cell>
          <cell r="B182" t="str">
            <v>크림스프８０Ｇ　　　　　　　　</v>
          </cell>
          <cell r="C182">
            <v>50</v>
          </cell>
          <cell r="D182">
            <v>2703.84</v>
          </cell>
          <cell r="E182">
            <v>5.40768</v>
          </cell>
        </row>
        <row r="183">
          <cell r="A183">
            <v>503065</v>
          </cell>
          <cell r="B183" t="str">
            <v>야채스프８０Ｇ　　　　　　　　</v>
          </cell>
          <cell r="C183">
            <v>46.37</v>
          </cell>
          <cell r="D183">
            <v>1263.5999999999999</v>
          </cell>
          <cell r="E183">
            <v>2.7248000000000001</v>
          </cell>
        </row>
        <row r="184">
          <cell r="A184">
            <v>503101</v>
          </cell>
          <cell r="B184" t="str">
            <v xml:space="preserve">신크림스프１ＫＧ　　　　　    </v>
          </cell>
          <cell r="C184">
            <v>16.16</v>
          </cell>
          <cell r="D184">
            <v>514.14</v>
          </cell>
          <cell r="E184">
            <v>3.1806000000000001</v>
          </cell>
        </row>
        <row r="185">
          <cell r="A185">
            <v>4010301</v>
          </cell>
          <cell r="B185" t="str">
            <v xml:space="preserve">스　　　　　　프              </v>
          </cell>
          <cell r="C185">
            <v>39.25</v>
          </cell>
          <cell r="D185">
            <v>9322.4699999999993</v>
          </cell>
          <cell r="E185">
            <v>23.751480000000001</v>
          </cell>
        </row>
        <row r="186">
          <cell r="A186">
            <v>4010300</v>
          </cell>
          <cell r="B186" t="str">
            <v xml:space="preserve">스          프                </v>
          </cell>
          <cell r="C186">
            <v>39.25</v>
          </cell>
          <cell r="D186">
            <v>9322.4699999999993</v>
          </cell>
          <cell r="E186">
            <v>23.751480000000001</v>
          </cell>
        </row>
        <row r="187">
          <cell r="A187">
            <v>505012</v>
          </cell>
          <cell r="B187" t="str">
            <v xml:space="preserve">토마토케찹１ＫＧ　　　　　    </v>
          </cell>
          <cell r="C187">
            <v>18.36</v>
          </cell>
          <cell r="D187">
            <v>678.58</v>
          </cell>
          <cell r="E187">
            <v>3.69672</v>
          </cell>
        </row>
        <row r="188">
          <cell r="A188">
            <v>505019</v>
          </cell>
          <cell r="B188" t="str">
            <v xml:space="preserve">토마토케찹８００Ｇ　　　　    </v>
          </cell>
          <cell r="C188">
            <v>22.11</v>
          </cell>
          <cell r="D188">
            <v>1481.86</v>
          </cell>
          <cell r="E188">
            <v>6.7010399999999999</v>
          </cell>
        </row>
        <row r="189">
          <cell r="A189">
            <v>505042</v>
          </cell>
          <cell r="B189" t="str">
            <v xml:space="preserve">토마토케찹５００Ｇ　　　　    </v>
          </cell>
          <cell r="C189">
            <v>29.02</v>
          </cell>
          <cell r="D189">
            <v>1206.8399999999999</v>
          </cell>
          <cell r="E189">
            <v>4.1583999999999994</v>
          </cell>
        </row>
        <row r="190">
          <cell r="A190">
            <v>505044</v>
          </cell>
          <cell r="B190" t="str">
            <v xml:space="preserve">프리미엄케찹４００Ｇ          </v>
          </cell>
          <cell r="C190">
            <v>27.61</v>
          </cell>
          <cell r="D190">
            <v>678.28</v>
          </cell>
          <cell r="E190">
            <v>2.45668</v>
          </cell>
        </row>
        <row r="191">
          <cell r="A191">
            <v>4010401</v>
          </cell>
          <cell r="B191" t="str">
            <v xml:space="preserve">케      찹 （가）             </v>
          </cell>
          <cell r="C191">
            <v>23.78</v>
          </cell>
          <cell r="D191">
            <v>4045.55</v>
          </cell>
          <cell r="E191">
            <v>17.012840000000001</v>
          </cell>
        </row>
        <row r="192">
          <cell r="A192">
            <v>505007</v>
          </cell>
          <cell r="B192" t="str">
            <v xml:space="preserve">토마토케찹３．３ＫＧ　　　　  </v>
          </cell>
          <cell r="C192">
            <v>-13.89</v>
          </cell>
          <cell r="D192">
            <v>-585</v>
          </cell>
          <cell r="E192">
            <v>4.2119999999999997</v>
          </cell>
        </row>
        <row r="193">
          <cell r="A193">
            <v>4010402</v>
          </cell>
          <cell r="B193" t="str">
            <v xml:space="preserve">케      찹 （업）             </v>
          </cell>
          <cell r="C193">
            <v>-13.89</v>
          </cell>
          <cell r="D193">
            <v>-585</v>
          </cell>
          <cell r="E193">
            <v>4.2119999999999997</v>
          </cell>
        </row>
        <row r="194">
          <cell r="A194">
            <v>4010400</v>
          </cell>
          <cell r="B194" t="str">
            <v xml:space="preserve">케          찹                </v>
          </cell>
          <cell r="C194">
            <v>16.3</v>
          </cell>
          <cell r="D194">
            <v>3460.55</v>
          </cell>
          <cell r="E194">
            <v>21.22484</v>
          </cell>
        </row>
        <row r="195">
          <cell r="A195">
            <v>506003</v>
          </cell>
          <cell r="B195" t="str">
            <v xml:space="preserve">식물성마가린４００Ｇ          </v>
          </cell>
          <cell r="C195">
            <v>35.1</v>
          </cell>
          <cell r="D195">
            <v>1810.32</v>
          </cell>
          <cell r="E195">
            <v>5.1573599999999997</v>
          </cell>
        </row>
        <row r="196">
          <cell r="A196">
            <v>4010501</v>
          </cell>
          <cell r="B196" t="str">
            <v xml:space="preserve">식물성  마아가린              </v>
          </cell>
          <cell r="C196">
            <v>35.1</v>
          </cell>
          <cell r="D196">
            <v>1810.32</v>
          </cell>
          <cell r="E196">
            <v>5.1573599999999997</v>
          </cell>
        </row>
        <row r="197">
          <cell r="A197">
            <v>506018</v>
          </cell>
          <cell r="B197" t="str">
            <v xml:space="preserve">옥수수마가린４００Ｇ          </v>
          </cell>
          <cell r="C197">
            <v>32.729999999999997</v>
          </cell>
          <cell r="D197">
            <v>1892.16</v>
          </cell>
          <cell r="E197">
            <v>5.7816000000000001</v>
          </cell>
        </row>
        <row r="198">
          <cell r="A198">
            <v>4010502</v>
          </cell>
          <cell r="B198" t="str">
            <v xml:space="preserve">옥수수  마아가린              </v>
          </cell>
          <cell r="C198">
            <v>32.729999999999997</v>
          </cell>
          <cell r="D198">
            <v>1892.16</v>
          </cell>
          <cell r="E198">
            <v>5.7816000000000001</v>
          </cell>
        </row>
        <row r="199">
          <cell r="A199">
            <v>4010500</v>
          </cell>
          <cell r="B199" t="str">
            <v xml:space="preserve">마  아  가  린                </v>
          </cell>
          <cell r="C199">
            <v>33.85</v>
          </cell>
          <cell r="D199">
            <v>3702.48</v>
          </cell>
          <cell r="E199">
            <v>10.93896</v>
          </cell>
        </row>
        <row r="200">
          <cell r="A200">
            <v>507006</v>
          </cell>
          <cell r="B200" t="str">
            <v>천드레싱５１５Ｇ　　　　　　　</v>
          </cell>
          <cell r="C200">
            <v>19.350000000000001</v>
          </cell>
          <cell r="D200">
            <v>1302.3399999999999</v>
          </cell>
          <cell r="E200">
            <v>6.7305600000000005</v>
          </cell>
        </row>
        <row r="201">
          <cell r="A201">
            <v>4010601</v>
          </cell>
          <cell r="B201" t="str">
            <v xml:space="preserve">드  래  싱 （가）             </v>
          </cell>
          <cell r="C201">
            <v>19.350000000000001</v>
          </cell>
          <cell r="D201">
            <v>1302.3399999999999</v>
          </cell>
          <cell r="E201">
            <v>6.7305600000000005</v>
          </cell>
        </row>
        <row r="202">
          <cell r="A202">
            <v>4010600</v>
          </cell>
          <cell r="B202" t="str">
            <v xml:space="preserve">드    레    싱                </v>
          </cell>
          <cell r="C202">
            <v>19.350000000000001</v>
          </cell>
          <cell r="D202">
            <v>1302.3399999999999</v>
          </cell>
          <cell r="E202">
            <v>6.7305600000000005</v>
          </cell>
        </row>
        <row r="203">
          <cell r="A203">
            <v>509110</v>
          </cell>
          <cell r="B203" t="str">
            <v xml:space="preserve">본카레순한맛１００Ｇ          </v>
          </cell>
          <cell r="C203">
            <v>50.28</v>
          </cell>
          <cell r="D203">
            <v>669.76</v>
          </cell>
          <cell r="E203">
            <v>1.33216</v>
          </cell>
        </row>
        <row r="204">
          <cell r="A204">
            <v>509111</v>
          </cell>
          <cell r="B204" t="str">
            <v xml:space="preserve">본카레중간맛１００Ｇ          </v>
          </cell>
          <cell r="C204">
            <v>50.28</v>
          </cell>
          <cell r="D204">
            <v>698.88</v>
          </cell>
          <cell r="E204">
            <v>1.39008</v>
          </cell>
        </row>
        <row r="205">
          <cell r="A205">
            <v>509112</v>
          </cell>
          <cell r="B205" t="str">
            <v xml:space="preserve">본카레매운맛１００Ｇ          </v>
          </cell>
          <cell r="C205">
            <v>50.28</v>
          </cell>
          <cell r="D205">
            <v>567.84</v>
          </cell>
          <cell r="E205">
            <v>1.12944</v>
          </cell>
        </row>
        <row r="206">
          <cell r="A206">
            <v>509114</v>
          </cell>
          <cell r="B206" t="str">
            <v xml:space="preserve">본카레３００Ｇ／２＋１        </v>
          </cell>
          <cell r="C206">
            <v>21.13</v>
          </cell>
          <cell r="D206">
            <v>393</v>
          </cell>
          <cell r="E206">
            <v>1.8602000000000001</v>
          </cell>
        </row>
        <row r="207">
          <cell r="A207">
            <v>4010801</v>
          </cell>
          <cell r="B207" t="str">
            <v xml:space="preserve">카      레 （가）             </v>
          </cell>
          <cell r="C207">
            <v>40.78</v>
          </cell>
          <cell r="D207">
            <v>2329.48</v>
          </cell>
          <cell r="E207">
            <v>5.7118799999999998</v>
          </cell>
        </row>
        <row r="208">
          <cell r="A208">
            <v>401433</v>
          </cell>
          <cell r="B208" t="str">
            <v xml:space="preserve">청정원카레중간맛１ＫＧ        </v>
          </cell>
          <cell r="C208">
            <v>6.86</v>
          </cell>
          <cell r="D208">
            <v>196.25</v>
          </cell>
          <cell r="E208">
            <v>2.8624999999999998</v>
          </cell>
        </row>
        <row r="209">
          <cell r="A209">
            <v>4010802</v>
          </cell>
          <cell r="B209" t="str">
            <v xml:space="preserve">카      레 （업）             </v>
          </cell>
          <cell r="C209">
            <v>6.86</v>
          </cell>
          <cell r="D209">
            <v>196.25</v>
          </cell>
          <cell r="E209">
            <v>2.8624999999999998</v>
          </cell>
        </row>
        <row r="210">
          <cell r="A210">
            <v>4010800</v>
          </cell>
          <cell r="B210" t="str">
            <v xml:space="preserve">카          레                </v>
          </cell>
          <cell r="C210">
            <v>29.46</v>
          </cell>
          <cell r="D210">
            <v>2525.73</v>
          </cell>
          <cell r="E210">
            <v>8.5743799999999997</v>
          </cell>
        </row>
        <row r="211">
          <cell r="A211">
            <v>508624</v>
          </cell>
          <cell r="B211" t="str">
            <v>돈까스소스４００Ｇ　　　　　　</v>
          </cell>
          <cell r="C211">
            <v>-10.6</v>
          </cell>
          <cell r="D211">
            <v>-1172.3499999999999</v>
          </cell>
          <cell r="E211">
            <v>11.063040000000001</v>
          </cell>
        </row>
        <row r="212">
          <cell r="A212">
            <v>508630</v>
          </cell>
          <cell r="B212" t="str">
            <v>스테이크소스４００Ｇ　　　　　</v>
          </cell>
          <cell r="C212">
            <v>-11.94</v>
          </cell>
          <cell r="D212">
            <v>-386.88</v>
          </cell>
          <cell r="E212">
            <v>3.2401200000000001</v>
          </cell>
        </row>
        <row r="213">
          <cell r="A213">
            <v>4011701</v>
          </cell>
          <cell r="B213" t="str">
            <v xml:space="preserve">쏘     오     스              </v>
          </cell>
          <cell r="C213">
            <v>-10.9</v>
          </cell>
          <cell r="D213">
            <v>-1559.23</v>
          </cell>
          <cell r="E213">
            <v>14.30316</v>
          </cell>
        </row>
        <row r="214">
          <cell r="A214">
            <v>4011700</v>
          </cell>
          <cell r="B214" t="str">
            <v xml:space="preserve">쏘          스                </v>
          </cell>
          <cell r="C214">
            <v>-10.9</v>
          </cell>
          <cell r="D214">
            <v>-1559.23</v>
          </cell>
          <cell r="E214">
            <v>14.30316</v>
          </cell>
        </row>
        <row r="215">
          <cell r="A215">
            <v>508641</v>
          </cell>
          <cell r="B215" t="str">
            <v xml:space="preserve">보크라이스쇠고기２４Ｇ        </v>
          </cell>
          <cell r="C215">
            <v>36.53</v>
          </cell>
          <cell r="D215">
            <v>1946.2</v>
          </cell>
          <cell r="E215">
            <v>5.3280000000000003</v>
          </cell>
        </row>
        <row r="216">
          <cell r="A216">
            <v>508642</v>
          </cell>
          <cell r="B216" t="str">
            <v xml:space="preserve">보크라이스새우２４Ｇ          </v>
          </cell>
          <cell r="C216">
            <v>36.53</v>
          </cell>
          <cell r="D216">
            <v>1367.6</v>
          </cell>
          <cell r="E216">
            <v>3.7440000000000002</v>
          </cell>
        </row>
        <row r="217">
          <cell r="A217">
            <v>508643</v>
          </cell>
          <cell r="B217" t="str">
            <v xml:space="preserve">보크라이스야채２４Ｇ          </v>
          </cell>
          <cell r="C217">
            <v>38.89</v>
          </cell>
          <cell r="D217">
            <v>1220.8</v>
          </cell>
          <cell r="E217">
            <v>3.1391999999999998</v>
          </cell>
        </row>
        <row r="218">
          <cell r="A218">
            <v>4012501</v>
          </cell>
          <cell r="B218" t="str">
            <v xml:space="preserve">보  크  라 이 스              </v>
          </cell>
          <cell r="C218">
            <v>37.130000000000003</v>
          </cell>
          <cell r="D218">
            <v>4534.6000000000004</v>
          </cell>
          <cell r="E218">
            <v>12.211200000000002</v>
          </cell>
        </row>
        <row r="219">
          <cell r="A219">
            <v>4012500</v>
          </cell>
          <cell r="B219" t="str">
            <v xml:space="preserve">라이스  메이트                </v>
          </cell>
          <cell r="C219">
            <v>37.130000000000003</v>
          </cell>
          <cell r="D219">
            <v>4534.6000000000004</v>
          </cell>
          <cell r="E219">
            <v>12.211200000000002</v>
          </cell>
        </row>
        <row r="220">
          <cell r="A220">
            <v>4010000</v>
          </cell>
          <cell r="B220" t="str">
            <v xml:space="preserve">서 구 식 품 류                </v>
          </cell>
          <cell r="C220">
            <v>26.1</v>
          </cell>
          <cell r="D220">
            <v>35496.83</v>
          </cell>
          <cell r="E220">
            <v>135.99629999999999</v>
          </cell>
        </row>
        <row r="221">
          <cell r="A221">
            <v>107016</v>
          </cell>
          <cell r="B221" t="str">
            <v>멸치액젓골드１ＫＧ　　　　　　</v>
          </cell>
          <cell r="C221">
            <v>49.67</v>
          </cell>
          <cell r="D221">
            <v>2359.86</v>
          </cell>
          <cell r="E221">
            <v>4.7507999999999999</v>
          </cell>
        </row>
        <row r="222">
          <cell r="A222">
            <v>4040301</v>
          </cell>
          <cell r="B222" t="str">
            <v xml:space="preserve">멸 치 액 젓 골드              </v>
          </cell>
          <cell r="C222">
            <v>49.67</v>
          </cell>
          <cell r="D222">
            <v>2359.86</v>
          </cell>
          <cell r="E222">
            <v>4.7507999999999999</v>
          </cell>
        </row>
        <row r="223">
          <cell r="A223">
            <v>200004</v>
          </cell>
          <cell r="B223" t="str">
            <v xml:space="preserve">액체육젓５００Ｇ　　　　      </v>
          </cell>
          <cell r="C223">
            <v>43.79</v>
          </cell>
          <cell r="D223">
            <v>1158.24</v>
          </cell>
          <cell r="E223">
            <v>2.6448</v>
          </cell>
        </row>
        <row r="224">
          <cell r="A224">
            <v>200005</v>
          </cell>
          <cell r="B224" t="str">
            <v xml:space="preserve">액체육젓１ＫＧ　　　　　      </v>
          </cell>
          <cell r="C224">
            <v>44.13</v>
          </cell>
          <cell r="D224">
            <v>631.67999999999995</v>
          </cell>
          <cell r="E224">
            <v>1.43136</v>
          </cell>
        </row>
        <row r="225">
          <cell r="A225">
            <v>4040307</v>
          </cell>
          <cell r="B225" t="str">
            <v xml:space="preserve">액   체  육   젓              </v>
          </cell>
          <cell r="C225">
            <v>43.91</v>
          </cell>
          <cell r="D225">
            <v>1789.92</v>
          </cell>
          <cell r="E225">
            <v>4.0761599999999998</v>
          </cell>
        </row>
        <row r="226">
          <cell r="A226">
            <v>200103</v>
          </cell>
          <cell r="B226" t="str">
            <v>멸치액젓１ＫＧ　　　　　　　　</v>
          </cell>
          <cell r="C226">
            <v>42.96</v>
          </cell>
          <cell r="D226">
            <v>1402.66</v>
          </cell>
          <cell r="E226">
            <v>3.2649599999999999</v>
          </cell>
        </row>
        <row r="227">
          <cell r="A227">
            <v>200104</v>
          </cell>
          <cell r="B227" t="str">
            <v>멸치액젓３ＫＧ　　　　　　　　</v>
          </cell>
          <cell r="C227">
            <v>40.44</v>
          </cell>
          <cell r="D227">
            <v>3144.42</v>
          </cell>
          <cell r="E227">
            <v>7.7759999999999998</v>
          </cell>
        </row>
        <row r="228">
          <cell r="A228">
            <v>4040309</v>
          </cell>
          <cell r="B228" t="str">
            <v xml:space="preserve">멸   치  액   젓              </v>
          </cell>
          <cell r="C228">
            <v>41.18</v>
          </cell>
          <cell r="D228">
            <v>4547.08</v>
          </cell>
          <cell r="E228">
            <v>11.040959999999998</v>
          </cell>
        </row>
        <row r="229">
          <cell r="A229">
            <v>200202</v>
          </cell>
          <cell r="B229" t="str">
            <v>까나리액젓５００Ｇ　　　　　　</v>
          </cell>
          <cell r="C229">
            <v>46.95</v>
          </cell>
          <cell r="D229">
            <v>3365.28</v>
          </cell>
          <cell r="E229">
            <v>7.1683199999999996</v>
          </cell>
        </row>
        <row r="230">
          <cell r="A230">
            <v>200203</v>
          </cell>
          <cell r="B230" t="str">
            <v>까나리액젓１ＫＧ　　　　　　　</v>
          </cell>
          <cell r="C230">
            <v>48.23</v>
          </cell>
          <cell r="D230">
            <v>4936.46</v>
          </cell>
          <cell r="E230">
            <v>10.23516</v>
          </cell>
        </row>
        <row r="231">
          <cell r="A231">
            <v>200204</v>
          </cell>
          <cell r="B231" t="str">
            <v>까나리액젓３ＫＧ　　　　　　　</v>
          </cell>
          <cell r="C231">
            <v>45.82</v>
          </cell>
          <cell r="D231">
            <v>7100.35</v>
          </cell>
          <cell r="E231">
            <v>15.496799999999999</v>
          </cell>
        </row>
        <row r="232">
          <cell r="A232">
            <v>4040311</v>
          </cell>
          <cell r="B232" t="str">
            <v xml:space="preserve">까  나  리 액 젓              </v>
          </cell>
          <cell r="C232">
            <v>46.81</v>
          </cell>
          <cell r="D232">
            <v>15402.1</v>
          </cell>
          <cell r="E232">
            <v>32.900280000000002</v>
          </cell>
        </row>
        <row r="233">
          <cell r="A233">
            <v>4040300</v>
          </cell>
          <cell r="B233" t="str">
            <v xml:space="preserve">액          젓                </v>
          </cell>
          <cell r="C233">
            <v>45.67</v>
          </cell>
          <cell r="D233">
            <v>24098.95</v>
          </cell>
          <cell r="E233">
            <v>52.7682</v>
          </cell>
        </row>
        <row r="234">
          <cell r="A234">
            <v>105303</v>
          </cell>
          <cell r="B234" t="str">
            <v xml:space="preserve">겨자분２２０Ｇ                </v>
          </cell>
          <cell r="C234">
            <v>25.2</v>
          </cell>
          <cell r="D234">
            <v>113.4</v>
          </cell>
          <cell r="E234">
            <v>0.45</v>
          </cell>
        </row>
        <row r="235">
          <cell r="A235">
            <v>4044001</v>
          </cell>
          <cell r="B235" t="str">
            <v xml:space="preserve">겨     자     분              </v>
          </cell>
          <cell r="C235">
            <v>25.2</v>
          </cell>
          <cell r="D235">
            <v>113.4</v>
          </cell>
          <cell r="E235">
            <v>0.45</v>
          </cell>
        </row>
        <row r="236">
          <cell r="A236">
            <v>105313</v>
          </cell>
          <cell r="B236" t="str">
            <v xml:space="preserve">연겨자１１０Ｇ                </v>
          </cell>
          <cell r="C236">
            <v>51.76</v>
          </cell>
          <cell r="D236">
            <v>1397.18</v>
          </cell>
          <cell r="E236">
            <v>2.6995200000000001</v>
          </cell>
        </row>
        <row r="237">
          <cell r="A237">
            <v>4044003</v>
          </cell>
          <cell r="B237" t="str">
            <v xml:space="preserve">연     겨     자              </v>
          </cell>
          <cell r="C237">
            <v>51.76</v>
          </cell>
          <cell r="D237">
            <v>1397.18</v>
          </cell>
          <cell r="E237">
            <v>2.6995200000000001</v>
          </cell>
        </row>
        <row r="238">
          <cell r="A238">
            <v>4044000</v>
          </cell>
          <cell r="B238" t="str">
            <v xml:space="preserve">겨          자                </v>
          </cell>
          <cell r="C238">
            <v>47.96</v>
          </cell>
          <cell r="D238">
            <v>1510.58</v>
          </cell>
          <cell r="E238">
            <v>3.1495199999999999</v>
          </cell>
        </row>
        <row r="239">
          <cell r="A239">
            <v>105323</v>
          </cell>
          <cell r="B239" t="str">
            <v xml:space="preserve">와사비분２２０Ｇ              </v>
          </cell>
          <cell r="C239">
            <v>25.9</v>
          </cell>
          <cell r="D239">
            <v>203.62</v>
          </cell>
          <cell r="E239">
            <v>0.78624000000000005</v>
          </cell>
        </row>
        <row r="240">
          <cell r="A240">
            <v>4045001</v>
          </cell>
          <cell r="B240" t="str">
            <v xml:space="preserve">와   사  비   분              </v>
          </cell>
          <cell r="C240">
            <v>25.9</v>
          </cell>
          <cell r="D240">
            <v>203.62</v>
          </cell>
          <cell r="E240">
            <v>0.78624000000000005</v>
          </cell>
        </row>
        <row r="241">
          <cell r="A241">
            <v>105333</v>
          </cell>
          <cell r="B241" t="str">
            <v xml:space="preserve">연와사비１１０Ｇ              </v>
          </cell>
          <cell r="C241">
            <v>47.16</v>
          </cell>
          <cell r="D241">
            <v>2613.31</v>
          </cell>
          <cell r="E241">
            <v>5.5411200000000003</v>
          </cell>
        </row>
        <row r="242">
          <cell r="A242">
            <v>4045003</v>
          </cell>
          <cell r="B242" t="str">
            <v xml:space="preserve">연   와  사   비              </v>
          </cell>
          <cell r="C242">
            <v>47.16</v>
          </cell>
          <cell r="D242">
            <v>2613.31</v>
          </cell>
          <cell r="E242">
            <v>5.5411200000000003</v>
          </cell>
        </row>
        <row r="243">
          <cell r="A243">
            <v>4045000</v>
          </cell>
          <cell r="B243" t="str">
            <v xml:space="preserve">와    사    비                </v>
          </cell>
          <cell r="C243">
            <v>44.52</v>
          </cell>
          <cell r="D243">
            <v>2816.93</v>
          </cell>
          <cell r="E243">
            <v>6.3273599999999997</v>
          </cell>
        </row>
        <row r="244">
          <cell r="A244">
            <v>4040000</v>
          </cell>
          <cell r="B244" t="str">
            <v xml:space="preserve">농  수  산  류                </v>
          </cell>
          <cell r="C244">
            <v>45.67</v>
          </cell>
          <cell r="D244">
            <v>28426.46</v>
          </cell>
          <cell r="E244">
            <v>62.245080000000002</v>
          </cell>
        </row>
        <row r="245">
          <cell r="A245">
            <v>101007</v>
          </cell>
          <cell r="B245" t="str">
            <v>불고기양념９６０Ｇ　　　　　　</v>
          </cell>
          <cell r="C245">
            <v>43.91</v>
          </cell>
          <cell r="D245">
            <v>301.75</v>
          </cell>
          <cell r="E245">
            <v>0.68719000000000008</v>
          </cell>
        </row>
        <row r="246">
          <cell r="A246">
            <v>103704</v>
          </cell>
          <cell r="B246" t="str">
            <v>불고기양념２５０Ｇ　　　　　　</v>
          </cell>
          <cell r="C246">
            <v>43.41</v>
          </cell>
          <cell r="D246">
            <v>944.64</v>
          </cell>
          <cell r="E246">
            <v>2.1760000000000002</v>
          </cell>
        </row>
        <row r="247">
          <cell r="A247">
            <v>103705</v>
          </cell>
          <cell r="B247" t="str">
            <v>불고기양념５００Ｇ　　　　　　</v>
          </cell>
          <cell r="C247">
            <v>36.07</v>
          </cell>
          <cell r="D247">
            <v>847.38</v>
          </cell>
          <cell r="E247">
            <v>2.3490000000000002</v>
          </cell>
        </row>
        <row r="248">
          <cell r="A248">
            <v>4060101</v>
          </cell>
          <cell r="B248" t="str">
            <v xml:space="preserve">불  고  기 양 념              </v>
          </cell>
          <cell r="C248">
            <v>40.17</v>
          </cell>
          <cell r="D248">
            <v>2093.77</v>
          </cell>
          <cell r="E248">
            <v>5.2121899999999997</v>
          </cell>
        </row>
        <row r="249">
          <cell r="A249">
            <v>103111</v>
          </cell>
          <cell r="B249" t="str">
            <v>갈비양념２４０Ｇ　　　　　　　</v>
          </cell>
          <cell r="C249">
            <v>42.24</v>
          </cell>
          <cell r="D249">
            <v>904.68</v>
          </cell>
          <cell r="E249">
            <v>2.1419999999999999</v>
          </cell>
        </row>
        <row r="250">
          <cell r="A250">
            <v>103114</v>
          </cell>
          <cell r="B250" t="str">
            <v>갈비양념９６０Ｇ　　　　　　　</v>
          </cell>
          <cell r="C250">
            <v>39.68</v>
          </cell>
          <cell r="D250">
            <v>644.59</v>
          </cell>
          <cell r="E250">
            <v>1.6242699999999999</v>
          </cell>
        </row>
        <row r="251">
          <cell r="A251">
            <v>103115</v>
          </cell>
          <cell r="B251" t="str">
            <v xml:space="preserve">갈비양념４８０Ｇ　　　        </v>
          </cell>
          <cell r="C251">
            <v>35.409999999999997</v>
          </cell>
          <cell r="D251">
            <v>1455.51</v>
          </cell>
          <cell r="E251">
            <v>4.1107500000000003</v>
          </cell>
        </row>
        <row r="252">
          <cell r="A252">
            <v>103117</v>
          </cell>
          <cell r="B252" t="str">
            <v xml:space="preserve">숯불갈비양념４８０Ｇ          </v>
          </cell>
          <cell r="C252">
            <v>35</v>
          </cell>
          <cell r="D252">
            <v>271.95</v>
          </cell>
          <cell r="E252">
            <v>0.77700000000000002</v>
          </cell>
        </row>
        <row r="253">
          <cell r="A253">
            <v>4060105</v>
          </cell>
          <cell r="B253" t="str">
            <v xml:space="preserve">갈      비 양 념              </v>
          </cell>
          <cell r="C253">
            <v>37.86</v>
          </cell>
          <cell r="D253">
            <v>3276.73</v>
          </cell>
          <cell r="E253">
            <v>8.6540200000000009</v>
          </cell>
        </row>
        <row r="254">
          <cell r="A254">
            <v>103122</v>
          </cell>
          <cell r="B254" t="str">
            <v>돼지갈비양념４８０Ｇ　　　　　</v>
          </cell>
          <cell r="C254">
            <v>35.409999999999997</v>
          </cell>
          <cell r="D254">
            <v>695.49</v>
          </cell>
          <cell r="E254">
            <v>1.9642500000000001</v>
          </cell>
        </row>
        <row r="255">
          <cell r="A255">
            <v>4060113</v>
          </cell>
          <cell r="B255" t="str">
            <v xml:space="preserve">돼 지 갈 비 양념              </v>
          </cell>
          <cell r="C255">
            <v>35.409999999999997</v>
          </cell>
          <cell r="D255">
            <v>695.49</v>
          </cell>
          <cell r="E255">
            <v>1.9642500000000001</v>
          </cell>
        </row>
        <row r="256">
          <cell r="A256">
            <v>4060100</v>
          </cell>
          <cell r="B256" t="str">
            <v xml:space="preserve">양    념    장                </v>
          </cell>
          <cell r="C256">
            <v>38.32</v>
          </cell>
          <cell r="D256">
            <v>6065.99</v>
          </cell>
          <cell r="E256">
            <v>15.830459999999999</v>
          </cell>
        </row>
        <row r="257">
          <cell r="A257">
            <v>103601</v>
          </cell>
          <cell r="B257" t="str">
            <v xml:space="preserve">소불고기양념３００Ｇ          </v>
          </cell>
          <cell r="C257">
            <v>42.45</v>
          </cell>
          <cell r="D257">
            <v>169.92</v>
          </cell>
          <cell r="E257">
            <v>0.40032000000000001</v>
          </cell>
        </row>
        <row r="258">
          <cell r="A258">
            <v>4060201</v>
          </cell>
          <cell r="B258" t="str">
            <v xml:space="preserve">불 고 기 양 념                </v>
          </cell>
          <cell r="C258">
            <v>42.45</v>
          </cell>
          <cell r="D258">
            <v>169.92</v>
          </cell>
          <cell r="E258">
            <v>0.40032000000000001</v>
          </cell>
        </row>
        <row r="259">
          <cell r="A259">
            <v>103622</v>
          </cell>
          <cell r="B259" t="str">
            <v xml:space="preserve">소갈비양념３００Ｇ／미정      </v>
          </cell>
          <cell r="C259">
            <v>6.47</v>
          </cell>
          <cell r="D259">
            <v>48.6</v>
          </cell>
          <cell r="E259">
            <v>0.75060000000000004</v>
          </cell>
        </row>
        <row r="260">
          <cell r="A260">
            <v>4060203</v>
          </cell>
          <cell r="B260" t="str">
            <v xml:space="preserve">갈  비  양  념                </v>
          </cell>
          <cell r="C260">
            <v>6.47</v>
          </cell>
          <cell r="D260">
            <v>48.6</v>
          </cell>
          <cell r="E260">
            <v>0.75060000000000004</v>
          </cell>
        </row>
        <row r="261">
          <cell r="A261">
            <v>4060200</v>
          </cell>
          <cell r="B261" t="str">
            <v xml:space="preserve">프리미엄양념장                </v>
          </cell>
          <cell r="C261">
            <v>18.989999999999998</v>
          </cell>
          <cell r="D261">
            <v>218.52</v>
          </cell>
          <cell r="E261">
            <v>1.1509200000000002</v>
          </cell>
        </row>
        <row r="262">
          <cell r="A262">
            <v>103503</v>
          </cell>
          <cell r="B262" t="str">
            <v>미정１．８Ｌ　　　　　　　　　</v>
          </cell>
          <cell r="C262">
            <v>-7.54</v>
          </cell>
          <cell r="D262">
            <v>-128.63999999999999</v>
          </cell>
          <cell r="E262">
            <v>1.7059200000000001</v>
          </cell>
        </row>
        <row r="263">
          <cell r="A263">
            <v>103506</v>
          </cell>
          <cell r="B263" t="str">
            <v>미정４１０ＭＬ　　　　　　　　</v>
          </cell>
          <cell r="C263">
            <v>17.14</v>
          </cell>
          <cell r="D263">
            <v>414.5</v>
          </cell>
          <cell r="E263">
            <v>2.4179400000000002</v>
          </cell>
        </row>
        <row r="264">
          <cell r="A264">
            <v>4060301</v>
          </cell>
          <cell r="B264" t="str">
            <v xml:space="preserve">미            정              </v>
          </cell>
          <cell r="C264">
            <v>6.93</v>
          </cell>
          <cell r="D264">
            <v>285.86</v>
          </cell>
          <cell r="E264">
            <v>4.1238599999999996</v>
          </cell>
        </row>
        <row r="265">
          <cell r="A265">
            <v>4060300</v>
          </cell>
          <cell r="B265" t="str">
            <v xml:space="preserve">맛　        술                </v>
          </cell>
          <cell r="C265">
            <v>6.93</v>
          </cell>
          <cell r="D265">
            <v>285.86</v>
          </cell>
          <cell r="E265">
            <v>4.1238599999999996</v>
          </cell>
        </row>
        <row r="266">
          <cell r="A266">
            <v>4060000</v>
          </cell>
          <cell r="B266" t="str">
            <v xml:space="preserve">액 체 양 념 류                </v>
          </cell>
          <cell r="C266">
            <v>31.13</v>
          </cell>
          <cell r="D266">
            <v>6570.38</v>
          </cell>
          <cell r="E266">
            <v>21.105240000000002</v>
          </cell>
        </row>
        <row r="267">
          <cell r="A267">
            <v>718208</v>
          </cell>
          <cell r="B267" t="str">
            <v xml:space="preserve">Ｐ３하이포크팜２００Ｇ        </v>
          </cell>
          <cell r="C267">
            <v>37.909999999999997</v>
          </cell>
          <cell r="D267">
            <v>4172.8</v>
          </cell>
          <cell r="E267">
            <v>11.007999999999999</v>
          </cell>
        </row>
        <row r="268">
          <cell r="A268">
            <v>718213</v>
          </cell>
          <cell r="B268" t="str">
            <v xml:space="preserve">Ｐ２하이팜３４０Ｇ／이        </v>
          </cell>
          <cell r="C268">
            <v>33.950000000000003</v>
          </cell>
          <cell r="D268">
            <v>26280</v>
          </cell>
          <cell r="E268">
            <v>77.400000000000006</v>
          </cell>
        </row>
        <row r="269">
          <cell r="A269">
            <v>4080101</v>
          </cell>
          <cell r="B269" t="str">
            <v xml:space="preserve">하 이  포 크  팜              </v>
          </cell>
          <cell r="C269">
            <v>34.450000000000003</v>
          </cell>
          <cell r="D269">
            <v>30452.799999999999</v>
          </cell>
          <cell r="E269">
            <v>88.408000000000001</v>
          </cell>
        </row>
        <row r="270">
          <cell r="A270">
            <v>4080100</v>
          </cell>
          <cell r="B270" t="str">
            <v xml:space="preserve">육  가  공  캔                </v>
          </cell>
          <cell r="C270">
            <v>34.450000000000003</v>
          </cell>
          <cell r="D270">
            <v>30452.799999999999</v>
          </cell>
          <cell r="E270">
            <v>88.408000000000001</v>
          </cell>
        </row>
        <row r="271">
          <cell r="A271">
            <v>718577</v>
          </cell>
          <cell r="B271" t="str">
            <v xml:space="preserve">０１하이포크　Ｅ－１호        </v>
          </cell>
          <cell r="C271">
            <v>10.24</v>
          </cell>
          <cell r="D271">
            <v>-6.88</v>
          </cell>
          <cell r="E271">
            <v>-6.720000000000001E-2</v>
          </cell>
        </row>
        <row r="272">
          <cell r="A272">
            <v>4080523</v>
          </cell>
          <cell r="B272" t="str">
            <v xml:space="preserve">０１  육가공세트              </v>
          </cell>
          <cell r="C272">
            <v>10.24</v>
          </cell>
          <cell r="D272">
            <v>-6.88</v>
          </cell>
          <cell r="E272">
            <v>-6.720000000000001E-2</v>
          </cell>
        </row>
        <row r="273">
          <cell r="A273">
            <v>718808</v>
          </cell>
          <cell r="B273" t="str">
            <v xml:space="preserve">하이포크특선세트／０２－０３  </v>
          </cell>
          <cell r="C273">
            <v>23.96</v>
          </cell>
          <cell r="D273">
            <v>-1238.31</v>
          </cell>
          <cell r="E273">
            <v>-5.1683900000000005</v>
          </cell>
        </row>
        <row r="274">
          <cell r="A274">
            <v>718809</v>
          </cell>
          <cell r="B274" t="str">
            <v xml:space="preserve">하이포크알뜰세트/０２－０３   </v>
          </cell>
          <cell r="C274">
            <v>23.12</v>
          </cell>
          <cell r="D274">
            <v>-400.66</v>
          </cell>
          <cell r="E274">
            <v>-1.73272</v>
          </cell>
        </row>
        <row r="275">
          <cell r="A275">
            <v>4080524</v>
          </cell>
          <cell r="B275" t="str">
            <v xml:space="preserve">０２  육가공캔세트            </v>
          </cell>
          <cell r="C275">
            <v>23.75</v>
          </cell>
          <cell r="D275">
            <v>-1638.96</v>
          </cell>
          <cell r="E275">
            <v>-6.9011000000000005</v>
          </cell>
        </row>
        <row r="276">
          <cell r="A276">
            <v>4080500</v>
          </cell>
          <cell r="B276" t="str">
            <v xml:space="preserve">육 가 공 세 트                </v>
          </cell>
          <cell r="C276">
            <v>23.62</v>
          </cell>
          <cell r="D276">
            <v>-1645.84</v>
          </cell>
          <cell r="E276">
            <v>-6.9683000000000002</v>
          </cell>
        </row>
        <row r="277">
          <cell r="A277">
            <v>4080000</v>
          </cell>
          <cell r="B277" t="str">
            <v xml:space="preserve">육  가  공  류                </v>
          </cell>
          <cell r="C277">
            <v>35.369999999999997</v>
          </cell>
          <cell r="D277">
            <v>28806.959999999999</v>
          </cell>
          <cell r="E277">
            <v>81.439700000000002</v>
          </cell>
        </row>
        <row r="278">
          <cell r="A278">
            <v>750401</v>
          </cell>
          <cell r="B278" t="str">
            <v xml:space="preserve">로즈버드믹스２４０Ｇ          </v>
          </cell>
          <cell r="C278">
            <v>23.57</v>
          </cell>
          <cell r="D278">
            <v>1968.05</v>
          </cell>
          <cell r="E278">
            <v>8.3499800000000004</v>
          </cell>
        </row>
        <row r="279">
          <cell r="A279">
            <v>752017</v>
          </cell>
          <cell r="B279" t="str">
            <v xml:space="preserve">헤즐럿향믹스２４０Ｇ          </v>
          </cell>
          <cell r="C279">
            <v>57.07</v>
          </cell>
          <cell r="D279">
            <v>4314.24</v>
          </cell>
          <cell r="E279">
            <v>7.56</v>
          </cell>
        </row>
        <row r="280">
          <cell r="A280">
            <v>4091101</v>
          </cell>
          <cell r="B280" t="str">
            <v xml:space="preserve">Ｓ ／ Ｄ 믹   스              </v>
          </cell>
          <cell r="C280">
            <v>39.49</v>
          </cell>
          <cell r="D280">
            <v>6282.29</v>
          </cell>
          <cell r="E280">
            <v>15.909979999999999</v>
          </cell>
        </row>
        <row r="281">
          <cell r="A281">
            <v>4091100</v>
          </cell>
          <cell r="B281" t="str">
            <v xml:space="preserve">커  피  믹  스                </v>
          </cell>
          <cell r="C281">
            <v>39.49</v>
          </cell>
          <cell r="D281">
            <v>6282.29</v>
          </cell>
          <cell r="E281">
            <v>15.909979999999999</v>
          </cell>
        </row>
        <row r="282">
          <cell r="A282">
            <v>4090000</v>
          </cell>
          <cell r="B282" t="str">
            <v xml:space="preserve">커    피    류                </v>
          </cell>
          <cell r="C282">
            <v>39.49</v>
          </cell>
          <cell r="D282">
            <v>6282.29</v>
          </cell>
          <cell r="E282">
            <v>15.909979999999999</v>
          </cell>
        </row>
        <row r="283">
          <cell r="A283">
            <v>780102</v>
          </cell>
          <cell r="B283" t="str">
            <v>튀김가루１ＫＧ　　　　　　　　</v>
          </cell>
          <cell r="C283">
            <v>17.12</v>
          </cell>
          <cell r="D283">
            <v>223.75</v>
          </cell>
          <cell r="E283">
            <v>1.3067</v>
          </cell>
        </row>
        <row r="284">
          <cell r="A284">
            <v>4120101</v>
          </cell>
          <cell r="B284" t="str">
            <v xml:space="preserve">튀   김  가   루              </v>
          </cell>
          <cell r="C284">
            <v>17.12</v>
          </cell>
          <cell r="D284">
            <v>223.75</v>
          </cell>
          <cell r="E284">
            <v>1.3067</v>
          </cell>
        </row>
        <row r="285">
          <cell r="A285">
            <v>780132</v>
          </cell>
          <cell r="B285" t="str">
            <v>부침가루１ＫＧ　　　　　　　　</v>
          </cell>
          <cell r="C285">
            <v>17.12</v>
          </cell>
          <cell r="D285">
            <v>592.5</v>
          </cell>
          <cell r="E285">
            <v>3.4601999999999999</v>
          </cell>
        </row>
        <row r="286">
          <cell r="A286">
            <v>4120103</v>
          </cell>
          <cell r="B286" t="str">
            <v xml:space="preserve">부   침  가   루              </v>
          </cell>
          <cell r="C286">
            <v>17.12</v>
          </cell>
          <cell r="D286">
            <v>592.5</v>
          </cell>
          <cell r="E286">
            <v>3.4601999999999999</v>
          </cell>
        </row>
        <row r="287">
          <cell r="A287">
            <v>780151</v>
          </cell>
          <cell r="B287" t="str">
            <v>핫케익가루５００Ｇ　　　　　　</v>
          </cell>
          <cell r="C287">
            <v>30.77</v>
          </cell>
          <cell r="D287">
            <v>672</v>
          </cell>
          <cell r="E287">
            <v>2.1840000000000002</v>
          </cell>
        </row>
        <row r="288">
          <cell r="A288">
            <v>4120105</v>
          </cell>
          <cell r="B288" t="str">
            <v xml:space="preserve">핫  케  익 가 루              </v>
          </cell>
          <cell r="C288">
            <v>30.77</v>
          </cell>
          <cell r="D288">
            <v>672</v>
          </cell>
          <cell r="E288">
            <v>2.1840000000000002</v>
          </cell>
        </row>
        <row r="289">
          <cell r="A289">
            <v>780171</v>
          </cell>
          <cell r="B289" t="str">
            <v>도너츠가루５００Ｇ　　　　　　</v>
          </cell>
          <cell r="C289">
            <v>30.77</v>
          </cell>
          <cell r="D289">
            <v>182.4</v>
          </cell>
          <cell r="E289">
            <v>0.59279999999999999</v>
          </cell>
        </row>
        <row r="290">
          <cell r="A290">
            <v>4120107</v>
          </cell>
          <cell r="B290" t="str">
            <v xml:space="preserve">도  너  츠 가 루              </v>
          </cell>
          <cell r="C290">
            <v>30.77</v>
          </cell>
          <cell r="D290">
            <v>182.4</v>
          </cell>
          <cell r="E290">
            <v>0.59279999999999999</v>
          </cell>
        </row>
        <row r="291">
          <cell r="A291">
            <v>4120100</v>
          </cell>
          <cell r="B291" t="str">
            <v xml:space="preserve">프  리  믹  스                </v>
          </cell>
          <cell r="C291">
            <v>22.15</v>
          </cell>
          <cell r="D291">
            <v>1670.65</v>
          </cell>
          <cell r="E291">
            <v>7.5436999999999994</v>
          </cell>
        </row>
        <row r="292">
          <cell r="A292">
            <v>4120000</v>
          </cell>
          <cell r="B292" t="str">
            <v xml:space="preserve">프 리 믹 스 류                </v>
          </cell>
          <cell r="C292">
            <v>22.15</v>
          </cell>
          <cell r="D292">
            <v>1670.65</v>
          </cell>
          <cell r="E292">
            <v>7.5436999999999994</v>
          </cell>
        </row>
        <row r="293">
          <cell r="A293">
            <v>723014</v>
          </cell>
          <cell r="B293" t="str">
            <v xml:space="preserve">옥수수식용유０．９Ｌ          </v>
          </cell>
          <cell r="C293">
            <v>22.93</v>
          </cell>
          <cell r="D293">
            <v>725.46</v>
          </cell>
          <cell r="E293">
            <v>3.1640000000000001</v>
          </cell>
        </row>
        <row r="294">
          <cell r="A294">
            <v>4130102</v>
          </cell>
          <cell r="B294" t="str">
            <v xml:space="preserve">옥     배     유              </v>
          </cell>
          <cell r="C294">
            <v>22.93</v>
          </cell>
          <cell r="D294">
            <v>725.46</v>
          </cell>
          <cell r="E294">
            <v>3.1640000000000001</v>
          </cell>
        </row>
        <row r="295">
          <cell r="A295">
            <v>1392</v>
          </cell>
          <cell r="B295" t="str">
            <v>옥수수식용유２호　　　　　　　</v>
          </cell>
          <cell r="C295">
            <v>25.02</v>
          </cell>
          <cell r="D295">
            <v>-2048.91</v>
          </cell>
          <cell r="E295">
            <v>-8.1881000000000004</v>
          </cell>
        </row>
        <row r="296">
          <cell r="A296">
            <v>4130104</v>
          </cell>
          <cell r="B296" t="str">
            <v xml:space="preserve">옥  배  유 세 트              </v>
          </cell>
          <cell r="C296">
            <v>25.02</v>
          </cell>
          <cell r="D296">
            <v>-2048.91</v>
          </cell>
          <cell r="E296">
            <v>-8.1881000000000004</v>
          </cell>
        </row>
        <row r="297">
          <cell r="A297">
            <v>723031</v>
          </cell>
          <cell r="B297" t="str">
            <v xml:space="preserve">콩식용유０．９Ｌ              </v>
          </cell>
          <cell r="C297">
            <v>21.74</v>
          </cell>
          <cell r="D297">
            <v>304.22000000000003</v>
          </cell>
          <cell r="E297">
            <v>1.3992</v>
          </cell>
        </row>
        <row r="298">
          <cell r="A298">
            <v>723032</v>
          </cell>
          <cell r="B298" t="str">
            <v xml:space="preserve">콩식용유１．８Ｌ              </v>
          </cell>
          <cell r="C298">
            <v>10.78</v>
          </cell>
          <cell r="D298">
            <v>253.08</v>
          </cell>
          <cell r="E298">
            <v>2.3484000000000003</v>
          </cell>
        </row>
        <row r="299">
          <cell r="A299">
            <v>4130105</v>
          </cell>
          <cell r="B299" t="str">
            <v xml:space="preserve">대     두     유              </v>
          </cell>
          <cell r="C299">
            <v>14.87</v>
          </cell>
          <cell r="D299">
            <v>557.29999999999995</v>
          </cell>
          <cell r="E299">
            <v>3.7475999999999998</v>
          </cell>
        </row>
        <row r="300">
          <cell r="A300">
            <v>4130100</v>
          </cell>
          <cell r="B300" t="str">
            <v xml:space="preserve">식    용    유                </v>
          </cell>
          <cell r="C300">
            <v>60.02</v>
          </cell>
          <cell r="D300">
            <v>-766.14</v>
          </cell>
          <cell r="E300">
            <v>-1.2765</v>
          </cell>
        </row>
        <row r="301">
          <cell r="A301">
            <v>4130000</v>
          </cell>
          <cell r="B301" t="str">
            <v xml:space="preserve">기 타 매 입 류                </v>
          </cell>
          <cell r="C301">
            <v>60.02</v>
          </cell>
          <cell r="D301">
            <v>-766.14</v>
          </cell>
          <cell r="E301">
            <v>-1.2765</v>
          </cell>
        </row>
        <row r="302">
          <cell r="A302">
            <v>509965</v>
          </cell>
          <cell r="B302" t="str">
            <v>간짜장１７０Ｇ　　　　　　　　</v>
          </cell>
          <cell r="C302">
            <v>36.33</v>
          </cell>
          <cell r="D302">
            <v>1948.32</v>
          </cell>
          <cell r="E302">
            <v>5.3628</v>
          </cell>
        </row>
        <row r="303">
          <cell r="A303">
            <v>509968</v>
          </cell>
          <cell r="B303" t="str">
            <v xml:space="preserve">쇠고기간짜장１７０Ｇ          </v>
          </cell>
          <cell r="C303">
            <v>27.34</v>
          </cell>
          <cell r="D303">
            <v>1380.34</v>
          </cell>
          <cell r="E303">
            <v>5.0488800000000005</v>
          </cell>
        </row>
        <row r="304">
          <cell r="A304">
            <v>4190101</v>
          </cell>
          <cell r="B304" t="str">
            <v xml:space="preserve">레토르트 짜   장              </v>
          </cell>
          <cell r="C304">
            <v>31.97</v>
          </cell>
          <cell r="D304">
            <v>3328.66</v>
          </cell>
          <cell r="E304">
            <v>10.41168</v>
          </cell>
        </row>
        <row r="305">
          <cell r="A305">
            <v>509956</v>
          </cell>
          <cell r="B305" t="str">
            <v xml:space="preserve">쇠고기카레순한맛２００Ｇ      </v>
          </cell>
          <cell r="C305">
            <v>23.85</v>
          </cell>
          <cell r="D305">
            <v>514.79999999999995</v>
          </cell>
          <cell r="E305">
            <v>2.1581999999999999</v>
          </cell>
        </row>
        <row r="306">
          <cell r="A306">
            <v>509959</v>
          </cell>
          <cell r="B306" t="str">
            <v xml:space="preserve">쇠고기카레중간맛２００Ｇ      </v>
          </cell>
          <cell r="C306">
            <v>20.18</v>
          </cell>
          <cell r="D306">
            <v>654.72</v>
          </cell>
          <cell r="E306">
            <v>3.2438400000000001</v>
          </cell>
        </row>
        <row r="307">
          <cell r="A307">
            <v>509962</v>
          </cell>
          <cell r="B307" t="str">
            <v xml:space="preserve">쇠고기카레매운맛２００Ｇ      </v>
          </cell>
          <cell r="C307">
            <v>22.02</v>
          </cell>
          <cell r="D307">
            <v>843.84</v>
          </cell>
          <cell r="E307">
            <v>3.8324400000000001</v>
          </cell>
        </row>
        <row r="308">
          <cell r="A308">
            <v>4190103</v>
          </cell>
          <cell r="B308" t="str">
            <v xml:space="preserve">레토르트 카   레              </v>
          </cell>
          <cell r="C308">
            <v>21.8</v>
          </cell>
          <cell r="D308">
            <v>2013.36</v>
          </cell>
          <cell r="E308">
            <v>9.2344799999999996</v>
          </cell>
        </row>
        <row r="309">
          <cell r="A309">
            <v>508622</v>
          </cell>
          <cell r="B309" t="str">
            <v>쇠고기덮밥소스１９０Ｇ　　　　</v>
          </cell>
          <cell r="C309">
            <v>27.44</v>
          </cell>
          <cell r="D309">
            <v>896.8</v>
          </cell>
          <cell r="E309">
            <v>3.2679999999999998</v>
          </cell>
        </row>
        <row r="310">
          <cell r="A310">
            <v>510001</v>
          </cell>
          <cell r="B310" t="str">
            <v xml:space="preserve">쇠고기돈부리１７０Ｇ          </v>
          </cell>
          <cell r="C310">
            <v>28.45</v>
          </cell>
          <cell r="D310">
            <v>1897.02</v>
          </cell>
          <cell r="E310">
            <v>6.6670200000000008</v>
          </cell>
        </row>
        <row r="311">
          <cell r="A311">
            <v>510002</v>
          </cell>
          <cell r="B311" t="str">
            <v xml:space="preserve">닭고기돈부리１７０Ｇ          </v>
          </cell>
          <cell r="C311">
            <v>38.57</v>
          </cell>
          <cell r="D311">
            <v>1117.6199999999999</v>
          </cell>
          <cell r="E311">
            <v>2.8978200000000003</v>
          </cell>
        </row>
        <row r="312">
          <cell r="A312">
            <v>510003</v>
          </cell>
          <cell r="B312" t="str">
            <v xml:space="preserve">해물맛돈부리１７０Ｇ          </v>
          </cell>
          <cell r="C312">
            <v>38.590000000000003</v>
          </cell>
          <cell r="D312">
            <v>1005.06</v>
          </cell>
          <cell r="E312">
            <v>2.60466</v>
          </cell>
        </row>
        <row r="313">
          <cell r="A313">
            <v>4190105</v>
          </cell>
          <cell r="B313" t="str">
            <v xml:space="preserve">레토르트 덮   밥              </v>
          </cell>
          <cell r="C313">
            <v>31.85</v>
          </cell>
          <cell r="D313">
            <v>4916.5</v>
          </cell>
          <cell r="E313">
            <v>15.4375</v>
          </cell>
        </row>
        <row r="314">
          <cell r="A314">
            <v>508545</v>
          </cell>
          <cell r="B314" t="str">
            <v>스파케티쏘스１５０Ｇ（쿡　　　</v>
          </cell>
          <cell r="C314">
            <v>7.5</v>
          </cell>
          <cell r="D314">
            <v>110.16</v>
          </cell>
          <cell r="E314">
            <v>1.4687999999999999</v>
          </cell>
        </row>
        <row r="315">
          <cell r="A315">
            <v>4190109</v>
          </cell>
          <cell r="B315" t="str">
            <v xml:space="preserve">레토르트스파게티              </v>
          </cell>
          <cell r="C315">
            <v>7.5</v>
          </cell>
          <cell r="D315">
            <v>110.16</v>
          </cell>
          <cell r="E315">
            <v>1.4687999999999999</v>
          </cell>
        </row>
        <row r="316">
          <cell r="A316">
            <v>4190100</v>
          </cell>
          <cell r="B316" t="str">
            <v xml:space="preserve">파우치형레토르트              </v>
          </cell>
          <cell r="C316">
            <v>28.37</v>
          </cell>
          <cell r="D316">
            <v>10368.68</v>
          </cell>
          <cell r="E316">
            <v>36.552459999999996</v>
          </cell>
        </row>
        <row r="317">
          <cell r="A317">
            <v>508441</v>
          </cell>
          <cell r="B317" t="str">
            <v xml:space="preserve">렌지함박스테이크１８５Ｇ      </v>
          </cell>
          <cell r="C317">
            <v>21.31</v>
          </cell>
          <cell r="D317">
            <v>2663.04</v>
          </cell>
          <cell r="E317">
            <v>12.4976</v>
          </cell>
        </row>
        <row r="318">
          <cell r="A318">
            <v>508442</v>
          </cell>
          <cell r="B318" t="str">
            <v xml:space="preserve">렌지미트볼１８５Ｇ            </v>
          </cell>
          <cell r="C318">
            <v>21.31</v>
          </cell>
          <cell r="D318">
            <v>3461.04</v>
          </cell>
          <cell r="E318">
            <v>16.242599999999999</v>
          </cell>
        </row>
        <row r="319">
          <cell r="A319">
            <v>508445</v>
          </cell>
          <cell r="B319" t="str">
            <v xml:space="preserve">렌지바베큐치킨１８５Ｇ        </v>
          </cell>
          <cell r="C319">
            <v>21.21</v>
          </cell>
          <cell r="D319">
            <v>1016.96</v>
          </cell>
          <cell r="E319">
            <v>4.7936000000000005</v>
          </cell>
        </row>
        <row r="320">
          <cell r="A320">
            <v>4190301</v>
          </cell>
          <cell r="B320" t="str">
            <v xml:space="preserve">용기레토 육   류              </v>
          </cell>
          <cell r="C320">
            <v>21.3</v>
          </cell>
          <cell r="D320">
            <v>7141.04</v>
          </cell>
          <cell r="E320">
            <v>33.533799999999999</v>
          </cell>
        </row>
        <row r="321">
          <cell r="A321">
            <v>4190300</v>
          </cell>
          <cell r="B321" t="str">
            <v xml:space="preserve">용 기 형레토르트              </v>
          </cell>
          <cell r="C321">
            <v>21.3</v>
          </cell>
          <cell r="D321">
            <v>7141.04</v>
          </cell>
          <cell r="E321">
            <v>33.533799999999999</v>
          </cell>
        </row>
        <row r="322">
          <cell r="A322">
            <v>4190000</v>
          </cell>
          <cell r="B322" t="str">
            <v xml:space="preserve">레  토  르  트                </v>
          </cell>
          <cell r="C322">
            <v>24.98</v>
          </cell>
          <cell r="D322">
            <v>17509.72</v>
          </cell>
          <cell r="E322">
            <v>70.086259999999996</v>
          </cell>
        </row>
        <row r="323">
          <cell r="A323">
            <v>806012</v>
          </cell>
          <cell r="B323" t="str">
            <v xml:space="preserve">트래펑２Ｌ/이마트　　　　     </v>
          </cell>
          <cell r="C323">
            <v>20</v>
          </cell>
          <cell r="D323">
            <v>2300.16</v>
          </cell>
          <cell r="E323">
            <v>11.5008</v>
          </cell>
        </row>
        <row r="324">
          <cell r="A324">
            <v>5010301</v>
          </cell>
          <cell r="B324" t="str">
            <v xml:space="preserve">트     래     펑              </v>
          </cell>
          <cell r="C324">
            <v>20</v>
          </cell>
          <cell r="D324">
            <v>2300.16</v>
          </cell>
          <cell r="E324">
            <v>11.5008</v>
          </cell>
        </row>
        <row r="325">
          <cell r="A325">
            <v>5010300</v>
          </cell>
          <cell r="B325" t="str">
            <v xml:space="preserve">트    래    펑                </v>
          </cell>
          <cell r="C325">
            <v>20</v>
          </cell>
          <cell r="D325">
            <v>2300.16</v>
          </cell>
          <cell r="E325">
            <v>11.5008</v>
          </cell>
        </row>
        <row r="326">
          <cell r="A326">
            <v>806138</v>
          </cell>
          <cell r="B326" t="str">
            <v>락스４Ｌ　　　　　　　　　　　</v>
          </cell>
          <cell r="C326">
            <v>28</v>
          </cell>
          <cell r="D326">
            <v>3040.8</v>
          </cell>
          <cell r="E326">
            <v>10.86</v>
          </cell>
        </row>
        <row r="327">
          <cell r="A327">
            <v>806241</v>
          </cell>
          <cell r="B327" t="str">
            <v>향락스２Ｌ　　　　　　　　　　</v>
          </cell>
          <cell r="C327">
            <v>19.79</v>
          </cell>
          <cell r="D327">
            <v>5603.34</v>
          </cell>
          <cell r="E327">
            <v>28.316939999999999</v>
          </cell>
        </row>
        <row r="328">
          <cell r="A328">
            <v>5010601</v>
          </cell>
          <cell r="B328" t="str">
            <v xml:space="preserve">락            스              </v>
          </cell>
          <cell r="C328">
            <v>22.06</v>
          </cell>
          <cell r="D328">
            <v>8644.14</v>
          </cell>
          <cell r="E328">
            <v>39.176940000000002</v>
          </cell>
        </row>
        <row r="329">
          <cell r="A329">
            <v>5010600</v>
          </cell>
          <cell r="B329" t="str">
            <v xml:space="preserve">락          스                </v>
          </cell>
          <cell r="C329">
            <v>22.06</v>
          </cell>
          <cell r="D329">
            <v>8644.14</v>
          </cell>
          <cell r="E329">
            <v>39.176940000000002</v>
          </cell>
        </row>
        <row r="330">
          <cell r="A330">
            <v>5010000</v>
          </cell>
          <cell r="B330" t="str">
            <v xml:space="preserve">생 활 용 품 류                </v>
          </cell>
          <cell r="C330">
            <v>21.6</v>
          </cell>
          <cell r="D330">
            <v>10944.3</v>
          </cell>
          <cell r="E330">
            <v>50.67774</v>
          </cell>
        </row>
        <row r="331">
          <cell r="A331">
            <v>413011</v>
          </cell>
          <cell r="B331" t="str">
            <v xml:space="preserve">스위트콘３４０Ｇ              </v>
          </cell>
          <cell r="C331">
            <v>6.63</v>
          </cell>
          <cell r="D331">
            <v>1023.26</v>
          </cell>
          <cell r="E331">
            <v>15.441979999999999</v>
          </cell>
        </row>
        <row r="332">
          <cell r="A332">
            <v>413014</v>
          </cell>
          <cell r="B332" t="str">
            <v xml:space="preserve">Ｐ３스위트콘３４０Ｇ          </v>
          </cell>
          <cell r="C332">
            <v>7.9</v>
          </cell>
          <cell r="D332">
            <v>2844</v>
          </cell>
          <cell r="E332">
            <v>36</v>
          </cell>
        </row>
        <row r="333">
          <cell r="A333">
            <v>5020701</v>
          </cell>
          <cell r="B333" t="str">
            <v xml:space="preserve">스   위   트  콘              </v>
          </cell>
          <cell r="C333">
            <v>7.52</v>
          </cell>
          <cell r="D333">
            <v>3867.26</v>
          </cell>
          <cell r="E333">
            <v>51.441980000000001</v>
          </cell>
        </row>
        <row r="334">
          <cell r="A334">
            <v>5020700</v>
          </cell>
          <cell r="B334" t="str">
            <v xml:space="preserve">서  구  캔  류                </v>
          </cell>
          <cell r="C334">
            <v>7.52</v>
          </cell>
          <cell r="D334">
            <v>3867.26</v>
          </cell>
          <cell r="E334">
            <v>51.441980000000001</v>
          </cell>
        </row>
        <row r="335">
          <cell r="A335">
            <v>5020000</v>
          </cell>
          <cell r="B335" t="str">
            <v xml:space="preserve">수 입 상 품 류                </v>
          </cell>
          <cell r="C335">
            <v>7.52</v>
          </cell>
          <cell r="D335">
            <v>3867.26</v>
          </cell>
          <cell r="E335">
            <v>51.441980000000001</v>
          </cell>
        </row>
        <row r="336">
          <cell r="A336">
            <v>718612</v>
          </cell>
          <cell r="B336" t="str">
            <v xml:space="preserve">ｅ순살돈까스６００Ｇ          </v>
          </cell>
          <cell r="C336">
            <v>35.61</v>
          </cell>
          <cell r="D336">
            <v>20413.23</v>
          </cell>
          <cell r="E336">
            <v>57.322830000000003</v>
          </cell>
        </row>
        <row r="337">
          <cell r="A337">
            <v>6015503</v>
          </cell>
          <cell r="B337" t="str">
            <v xml:space="preserve">돈     까     스              </v>
          </cell>
          <cell r="C337">
            <v>35.61</v>
          </cell>
          <cell r="D337">
            <v>20413.23</v>
          </cell>
          <cell r="E337">
            <v>57.322830000000003</v>
          </cell>
        </row>
        <row r="338">
          <cell r="A338">
            <v>718220</v>
          </cell>
          <cell r="B338" t="str">
            <v>새우동그랑땡８００Ｇ　　　　　</v>
          </cell>
          <cell r="C338">
            <v>29.37</v>
          </cell>
          <cell r="D338">
            <v>5347.12</v>
          </cell>
          <cell r="E338">
            <v>18.204240000000002</v>
          </cell>
        </row>
        <row r="339">
          <cell r="A339">
            <v>6015505</v>
          </cell>
          <cell r="B339" t="str">
            <v xml:space="preserve">햄     버     그              </v>
          </cell>
          <cell r="C339">
            <v>29.37</v>
          </cell>
          <cell r="D339">
            <v>5347.12</v>
          </cell>
          <cell r="E339">
            <v>18.204240000000002</v>
          </cell>
        </row>
        <row r="340">
          <cell r="A340">
            <v>718414</v>
          </cell>
          <cell r="B340" t="str">
            <v>숯불떡갈비８００Ｇ　　　　　　</v>
          </cell>
          <cell r="C340">
            <v>28.41</v>
          </cell>
          <cell r="D340">
            <v>7454.2</v>
          </cell>
          <cell r="E340">
            <v>26.233799999999999</v>
          </cell>
        </row>
        <row r="341">
          <cell r="A341">
            <v>718485</v>
          </cell>
          <cell r="B341" t="str">
            <v xml:space="preserve">숯불떡갈비９５０Ｇ／이마트    </v>
          </cell>
          <cell r="C341">
            <v>19.54</v>
          </cell>
          <cell r="D341">
            <v>1678.6</v>
          </cell>
          <cell r="E341">
            <v>8.5891999999999999</v>
          </cell>
        </row>
        <row r="342">
          <cell r="A342">
            <v>6015513</v>
          </cell>
          <cell r="B342" t="str">
            <v xml:space="preserve">축   육  구   이              </v>
          </cell>
          <cell r="C342">
            <v>26.23</v>
          </cell>
          <cell r="D342">
            <v>9132.7999999999993</v>
          </cell>
          <cell r="E342">
            <v>34.823</v>
          </cell>
        </row>
        <row r="343">
          <cell r="A343">
            <v>6015500</v>
          </cell>
          <cell r="B343" t="str">
            <v xml:space="preserve">냉  식  제  조                </v>
          </cell>
          <cell r="C343">
            <v>31.62</v>
          </cell>
          <cell r="D343">
            <v>34893.15</v>
          </cell>
          <cell r="E343">
            <v>110.35007</v>
          </cell>
        </row>
        <row r="344">
          <cell r="A344">
            <v>6010000</v>
          </cell>
          <cell r="B344" t="str">
            <v xml:space="preserve">냉 동 식 품 류                </v>
          </cell>
          <cell r="C344">
            <v>31.62</v>
          </cell>
          <cell r="D344">
            <v>34893.15</v>
          </cell>
          <cell r="E344">
            <v>110.35007</v>
          </cell>
        </row>
        <row r="345">
          <cell r="A345" t="str">
            <v>TOT</v>
          </cell>
          <cell r="B345" t="str">
            <v>총  계</v>
          </cell>
          <cell r="C345">
            <v>35.770000000000003</v>
          </cell>
          <cell r="D345">
            <v>599991.28</v>
          </cell>
          <cell r="E345">
            <v>1677.4814699999999</v>
          </cell>
        </row>
      </sheetData>
      <sheetData sheetId="3" refreshError="1">
        <row r="1">
          <cell r="A1" t="str">
            <v>코   드</v>
          </cell>
          <cell r="B1" t="str">
            <v>구   분</v>
          </cell>
          <cell r="C1" t="str">
            <v>GP율</v>
          </cell>
          <cell r="D1" t="str">
            <v>GP액</v>
          </cell>
          <cell r="E1" t="str">
            <v>매출금액</v>
          </cell>
        </row>
        <row r="2">
          <cell r="A2">
            <v>21160</v>
          </cell>
          <cell r="B2" t="str">
            <v xml:space="preserve">아미노산미원１．５ＫＧ        </v>
          </cell>
          <cell r="C2">
            <v>70.89</v>
          </cell>
          <cell r="D2">
            <v>55694</v>
          </cell>
          <cell r="E2">
            <v>78.5672</v>
          </cell>
        </row>
        <row r="3">
          <cell r="A3">
            <v>1010202</v>
          </cell>
          <cell r="B3" t="str">
            <v xml:space="preserve">아 미 노 산 (업)              </v>
          </cell>
          <cell r="C3">
            <v>70.89</v>
          </cell>
          <cell r="D3">
            <v>55694</v>
          </cell>
          <cell r="E3">
            <v>78.5672</v>
          </cell>
        </row>
        <row r="4">
          <cell r="A4">
            <v>1010200</v>
          </cell>
          <cell r="B4" t="str">
            <v xml:space="preserve">아미노산 미 원                </v>
          </cell>
          <cell r="C4">
            <v>70.89</v>
          </cell>
          <cell r="D4">
            <v>55694</v>
          </cell>
          <cell r="E4">
            <v>78.5672</v>
          </cell>
        </row>
        <row r="5">
          <cell r="A5">
            <v>31133</v>
          </cell>
          <cell r="B5" t="str">
            <v xml:space="preserve">감칠맛나는미원１３０Ｇ        </v>
          </cell>
          <cell r="C5">
            <v>74.569999999999993</v>
          </cell>
          <cell r="D5">
            <v>16781.939999999999</v>
          </cell>
          <cell r="E5">
            <v>22.503599999999999</v>
          </cell>
        </row>
        <row r="6">
          <cell r="A6">
            <v>31134</v>
          </cell>
          <cell r="B6" t="str">
            <v xml:space="preserve">감칠맛나는미원２８０Ｇ        </v>
          </cell>
          <cell r="C6">
            <v>74.25</v>
          </cell>
          <cell r="D6">
            <v>27027</v>
          </cell>
          <cell r="E6">
            <v>36.4</v>
          </cell>
        </row>
        <row r="7">
          <cell r="A7">
            <v>31136</v>
          </cell>
          <cell r="B7" t="str">
            <v xml:space="preserve">감칠맛나는미원５００Ｇ        </v>
          </cell>
          <cell r="C7">
            <v>65.36</v>
          </cell>
          <cell r="D7">
            <v>24278.560000000001</v>
          </cell>
          <cell r="E7">
            <v>37.145600000000002</v>
          </cell>
        </row>
        <row r="8">
          <cell r="A8">
            <v>31138</v>
          </cell>
          <cell r="B8" t="str">
            <v xml:space="preserve">감칠맛나는미원８５０Ｇ        </v>
          </cell>
          <cell r="C8">
            <v>72.400000000000006</v>
          </cell>
          <cell r="D8">
            <v>22866.84</v>
          </cell>
          <cell r="E8">
            <v>31.582799999999999</v>
          </cell>
        </row>
        <row r="9">
          <cell r="A9">
            <v>31143</v>
          </cell>
          <cell r="B9" t="str">
            <v xml:space="preserve">감칠맛나는미원７５Ｇ          </v>
          </cell>
          <cell r="C9">
            <v>54.55</v>
          </cell>
          <cell r="D9">
            <v>2191.1999999999998</v>
          </cell>
          <cell r="E9">
            <v>4.0171999999999999</v>
          </cell>
        </row>
        <row r="10">
          <cell r="A10">
            <v>1010501</v>
          </cell>
          <cell r="B10" t="str">
            <v xml:space="preserve">감칠맛 미원 (가)              </v>
          </cell>
          <cell r="C10">
            <v>70.75</v>
          </cell>
          <cell r="D10">
            <v>93145.54</v>
          </cell>
          <cell r="E10">
            <v>131.64920000000001</v>
          </cell>
        </row>
        <row r="11">
          <cell r="A11">
            <v>1010500</v>
          </cell>
          <cell r="B11" t="str">
            <v xml:space="preserve">감칠맛나는미원                </v>
          </cell>
          <cell r="C11">
            <v>70.75</v>
          </cell>
          <cell r="D11">
            <v>93145.54</v>
          </cell>
          <cell r="E11">
            <v>131.64920000000001</v>
          </cell>
        </row>
        <row r="12">
          <cell r="A12">
            <v>1010000</v>
          </cell>
          <cell r="B12" t="str">
            <v xml:space="preserve">미    원    류                </v>
          </cell>
          <cell r="C12">
            <v>70.8</v>
          </cell>
          <cell r="D12">
            <v>148839.54</v>
          </cell>
          <cell r="E12">
            <v>210.21639999999999</v>
          </cell>
        </row>
        <row r="13">
          <cell r="A13">
            <v>11467</v>
          </cell>
          <cell r="B13" t="str">
            <v xml:space="preserve">맛소금２５０Ｇ                </v>
          </cell>
          <cell r="C13">
            <v>46.49</v>
          </cell>
          <cell r="D13">
            <v>5641.6</v>
          </cell>
          <cell r="E13">
            <v>12.135999999999999</v>
          </cell>
        </row>
        <row r="14">
          <cell r="A14">
            <v>11469</v>
          </cell>
          <cell r="B14" t="str">
            <v xml:space="preserve">맛소금５００Ｇ                </v>
          </cell>
          <cell r="C14">
            <v>51.81</v>
          </cell>
          <cell r="D14">
            <v>8698.36</v>
          </cell>
          <cell r="E14">
            <v>16.790400000000002</v>
          </cell>
        </row>
        <row r="15">
          <cell r="A15">
            <v>11471</v>
          </cell>
          <cell r="B15" t="str">
            <v xml:space="preserve">맛소금１ＫＧ                  </v>
          </cell>
          <cell r="C15">
            <v>43.67</v>
          </cell>
          <cell r="D15">
            <v>4820.8</v>
          </cell>
          <cell r="E15">
            <v>11.04</v>
          </cell>
        </row>
        <row r="16">
          <cell r="A16">
            <v>11485</v>
          </cell>
          <cell r="B16" t="str">
            <v xml:space="preserve">맛소금２ＫＧ                  </v>
          </cell>
          <cell r="C16">
            <v>32.979999999999997</v>
          </cell>
          <cell r="D16">
            <v>1880.27</v>
          </cell>
          <cell r="E16">
            <v>5.7018000000000004</v>
          </cell>
        </row>
        <row r="17">
          <cell r="A17">
            <v>11489</v>
          </cell>
          <cell r="B17" t="str">
            <v>맛소금１．５ＫＧ　　　　　　　</v>
          </cell>
          <cell r="C17">
            <v>33.549999999999997</v>
          </cell>
          <cell r="D17">
            <v>1285.44</v>
          </cell>
          <cell r="E17">
            <v>3.8315999999999999</v>
          </cell>
        </row>
        <row r="18">
          <cell r="A18">
            <v>1020101</v>
          </cell>
          <cell r="B18" t="str">
            <v xml:space="preserve">맛  소  금  (가)              </v>
          </cell>
          <cell r="C18">
            <v>45.1</v>
          </cell>
          <cell r="D18">
            <v>22326.47</v>
          </cell>
          <cell r="E18">
            <v>49.4998</v>
          </cell>
        </row>
        <row r="19">
          <cell r="A19">
            <v>1020100</v>
          </cell>
          <cell r="B19" t="str">
            <v xml:space="preserve">일 반 맛 소 금                </v>
          </cell>
          <cell r="C19">
            <v>45.1</v>
          </cell>
          <cell r="D19">
            <v>22326.47</v>
          </cell>
          <cell r="E19">
            <v>49.4998</v>
          </cell>
        </row>
        <row r="20">
          <cell r="A20">
            <v>770126</v>
          </cell>
          <cell r="B20" t="str">
            <v xml:space="preserve">구운소금５００Ｇ              </v>
          </cell>
          <cell r="C20">
            <v>35.9</v>
          </cell>
          <cell r="D20">
            <v>-35.54</v>
          </cell>
          <cell r="E20">
            <v>-9.9000000000000005E-2</v>
          </cell>
        </row>
        <row r="21">
          <cell r="A21">
            <v>770127</v>
          </cell>
          <cell r="B21" t="str">
            <v xml:space="preserve">구운소금１ＫＧ                </v>
          </cell>
          <cell r="C21">
            <v>40</v>
          </cell>
          <cell r="D21">
            <v>-39.200000000000003</v>
          </cell>
          <cell r="E21">
            <v>-9.8000000000000004E-2</v>
          </cell>
        </row>
        <row r="22">
          <cell r="A22">
            <v>770131</v>
          </cell>
          <cell r="B22" t="str">
            <v xml:space="preserve">구운소금２００Ｇ／지관        </v>
          </cell>
          <cell r="C22">
            <v>41.1</v>
          </cell>
          <cell r="D22">
            <v>-28.8</v>
          </cell>
          <cell r="E22">
            <v>-7.0080000000000003E-2</v>
          </cell>
        </row>
        <row r="23">
          <cell r="A23">
            <v>1020301</v>
          </cell>
          <cell r="B23" t="str">
            <v xml:space="preserve">구   운  소   금              </v>
          </cell>
          <cell r="C23">
            <v>38.770000000000003</v>
          </cell>
          <cell r="D23">
            <v>-103.54</v>
          </cell>
          <cell r="E23">
            <v>-0.26707999999999998</v>
          </cell>
        </row>
        <row r="24">
          <cell r="A24">
            <v>1020300</v>
          </cell>
          <cell r="B24" t="str">
            <v xml:space="preserve">건  강  소  금                </v>
          </cell>
          <cell r="C24">
            <v>38.770000000000003</v>
          </cell>
          <cell r="D24">
            <v>-103.54</v>
          </cell>
          <cell r="E24">
            <v>-0.26707999999999998</v>
          </cell>
        </row>
        <row r="25">
          <cell r="A25">
            <v>1020000</v>
          </cell>
          <cell r="B25" t="str">
            <v xml:space="preserve">소    금    류                </v>
          </cell>
          <cell r="C25">
            <v>45.14</v>
          </cell>
          <cell r="D25">
            <v>22222.93</v>
          </cell>
          <cell r="E25">
            <v>49.23272</v>
          </cell>
        </row>
        <row r="26">
          <cell r="A26">
            <v>100108</v>
          </cell>
          <cell r="B26" t="str">
            <v>쇠고기맛나３００Ｇ　　　　　　</v>
          </cell>
          <cell r="C26">
            <v>64.989999999999995</v>
          </cell>
          <cell r="D26">
            <v>5418</v>
          </cell>
          <cell r="E26">
            <v>8.3369999999999997</v>
          </cell>
        </row>
        <row r="27">
          <cell r="A27">
            <v>100109</v>
          </cell>
          <cell r="B27" t="str">
            <v>쇠고기맛나５００Ｇ　　　　　　</v>
          </cell>
          <cell r="C27">
            <v>65.260000000000005</v>
          </cell>
          <cell r="D27">
            <v>4119.0200000000004</v>
          </cell>
          <cell r="E27">
            <v>6.3113799999999998</v>
          </cell>
        </row>
        <row r="28">
          <cell r="A28">
            <v>100112</v>
          </cell>
          <cell r="B28" t="str">
            <v>쇠고기맛나７５０Ｇ　　　　　　</v>
          </cell>
          <cell r="C28">
            <v>67.319999999999993</v>
          </cell>
          <cell r="D28">
            <v>2935.84</v>
          </cell>
          <cell r="E28">
            <v>4.3612799999999998</v>
          </cell>
        </row>
        <row r="29">
          <cell r="A29">
            <v>100118</v>
          </cell>
          <cell r="B29" t="str">
            <v xml:space="preserve">쇠고기맛나１ＫＧ　　　　　　  </v>
          </cell>
          <cell r="C29">
            <v>64.77</v>
          </cell>
          <cell r="D29">
            <v>5465.48</v>
          </cell>
          <cell r="E29">
            <v>8.4386900000000011</v>
          </cell>
        </row>
        <row r="30">
          <cell r="A30">
            <v>100355</v>
          </cell>
          <cell r="B30" t="str">
            <v xml:space="preserve">쇠고기맛나２．２５ＫＧ        </v>
          </cell>
          <cell r="C30">
            <v>0</v>
          </cell>
          <cell r="D30">
            <v>0</v>
          </cell>
          <cell r="E30">
            <v>0</v>
          </cell>
        </row>
        <row r="31">
          <cell r="A31">
            <v>100356</v>
          </cell>
          <cell r="B31" t="str">
            <v>쇠맛나２．２５ＫＧ＋맛소금１Ｋ</v>
          </cell>
          <cell r="C31">
            <v>60.1</v>
          </cell>
          <cell r="D31">
            <v>3640.7</v>
          </cell>
          <cell r="E31">
            <v>6.0575000000000001</v>
          </cell>
        </row>
        <row r="32">
          <cell r="A32">
            <v>1030101</v>
          </cell>
          <cell r="B32" t="str">
            <v xml:space="preserve">쇠 고 기 맛   나              </v>
          </cell>
          <cell r="C32">
            <v>64.400000000000006</v>
          </cell>
          <cell r="D32">
            <v>21579.05</v>
          </cell>
          <cell r="E32">
            <v>33.505849999999995</v>
          </cell>
        </row>
        <row r="33">
          <cell r="A33">
            <v>1030100</v>
          </cell>
          <cell r="B33" t="str">
            <v xml:space="preserve">맛          나                </v>
          </cell>
          <cell r="C33">
            <v>64.400000000000006</v>
          </cell>
          <cell r="D33">
            <v>21579.05</v>
          </cell>
          <cell r="E33">
            <v>33.505849999999995</v>
          </cell>
        </row>
        <row r="34">
          <cell r="A34">
            <v>108106</v>
          </cell>
          <cell r="B34" t="str">
            <v>쇠고기감치미１２０Ｇ　　　　　</v>
          </cell>
          <cell r="C34">
            <v>44.81</v>
          </cell>
          <cell r="D34">
            <v>2323.15</v>
          </cell>
          <cell r="E34">
            <v>5.1846499999999995</v>
          </cell>
        </row>
        <row r="35">
          <cell r="A35">
            <v>108114</v>
          </cell>
          <cell r="B35" t="str">
            <v xml:space="preserve">쇠고기감치미３００Ｇ          </v>
          </cell>
          <cell r="C35">
            <v>51.89</v>
          </cell>
          <cell r="D35">
            <v>6708.08</v>
          </cell>
          <cell r="E35">
            <v>12.927680000000001</v>
          </cell>
        </row>
        <row r="36">
          <cell r="A36">
            <v>108123</v>
          </cell>
          <cell r="B36" t="str">
            <v xml:space="preserve">쇠고기감치미５００Ｇ          </v>
          </cell>
          <cell r="C36">
            <v>51.35</v>
          </cell>
          <cell r="D36">
            <v>5979.89</v>
          </cell>
          <cell r="E36">
            <v>11.645379999999999</v>
          </cell>
        </row>
        <row r="37">
          <cell r="A37">
            <v>108125</v>
          </cell>
          <cell r="B37" t="str">
            <v xml:space="preserve">쇠고기감치미７５０Ｇ　　　　  </v>
          </cell>
          <cell r="C37">
            <v>54.98</v>
          </cell>
          <cell r="D37">
            <v>3701.97</v>
          </cell>
          <cell r="E37">
            <v>6.7326899999999998</v>
          </cell>
        </row>
        <row r="38">
          <cell r="A38">
            <v>951302</v>
          </cell>
          <cell r="B38" t="str">
            <v xml:space="preserve">쇠고기감치미１ＫＧ            </v>
          </cell>
          <cell r="C38">
            <v>53.3</v>
          </cell>
          <cell r="D38">
            <v>5452.47</v>
          </cell>
          <cell r="E38">
            <v>10.22955</v>
          </cell>
        </row>
        <row r="39">
          <cell r="A39">
            <v>1030301</v>
          </cell>
          <cell r="B39" t="str">
            <v xml:space="preserve">쇠 고 기감 치 미              </v>
          </cell>
          <cell r="C39">
            <v>51.72</v>
          </cell>
          <cell r="D39">
            <v>24165.56</v>
          </cell>
          <cell r="E39">
            <v>46.719940000000001</v>
          </cell>
        </row>
        <row r="40">
          <cell r="A40">
            <v>108212</v>
          </cell>
          <cell r="B40" t="str">
            <v>해물감치미５００Ｇ　　　　　　</v>
          </cell>
          <cell r="C40">
            <v>62.2</v>
          </cell>
          <cell r="D40">
            <v>2718.72</v>
          </cell>
          <cell r="E40">
            <v>4.3707200000000004</v>
          </cell>
        </row>
        <row r="41">
          <cell r="A41">
            <v>108213</v>
          </cell>
          <cell r="B41" t="str">
            <v>해물감치미３００Ｇ　　　　　　</v>
          </cell>
          <cell r="C41">
            <v>60.02</v>
          </cell>
          <cell r="D41">
            <v>2977.88</v>
          </cell>
          <cell r="E41">
            <v>4.9616800000000003</v>
          </cell>
        </row>
        <row r="42">
          <cell r="A42">
            <v>1030303</v>
          </cell>
          <cell r="B42" t="str">
            <v xml:space="preserve">해    물감 치 미              </v>
          </cell>
          <cell r="C42">
            <v>61.04</v>
          </cell>
          <cell r="D42">
            <v>5696.6</v>
          </cell>
          <cell r="E42">
            <v>9.3323999999999998</v>
          </cell>
        </row>
        <row r="43">
          <cell r="A43">
            <v>108301</v>
          </cell>
          <cell r="B43" t="str">
            <v xml:space="preserve">버섯감치미３００Ｇ            </v>
          </cell>
          <cell r="C43">
            <v>58.77</v>
          </cell>
          <cell r="D43">
            <v>3435.92</v>
          </cell>
          <cell r="E43">
            <v>5.8464</v>
          </cell>
        </row>
        <row r="44">
          <cell r="A44">
            <v>108302</v>
          </cell>
          <cell r="B44" t="str">
            <v xml:space="preserve">버섯감치미５００Ｇ            </v>
          </cell>
          <cell r="C44">
            <v>57.77</v>
          </cell>
          <cell r="D44">
            <v>2775.36</v>
          </cell>
          <cell r="E44">
            <v>4.80396</v>
          </cell>
        </row>
        <row r="45">
          <cell r="A45">
            <v>1030304</v>
          </cell>
          <cell r="B45" t="str">
            <v xml:space="preserve">버    섯감 치 미              </v>
          </cell>
          <cell r="C45">
            <v>58.32</v>
          </cell>
          <cell r="D45">
            <v>6211.28</v>
          </cell>
          <cell r="E45">
            <v>10.650360000000001</v>
          </cell>
        </row>
        <row r="46">
          <cell r="A46">
            <v>1030300</v>
          </cell>
          <cell r="B46" t="str">
            <v xml:space="preserve">감    치    미                </v>
          </cell>
          <cell r="C46">
            <v>54.08</v>
          </cell>
          <cell r="D46">
            <v>36073.440000000002</v>
          </cell>
          <cell r="E46">
            <v>66.702699999999993</v>
          </cell>
        </row>
        <row r="47">
          <cell r="A47">
            <v>1030000</v>
          </cell>
          <cell r="B47" t="str">
            <v xml:space="preserve">종 합 조미료류                </v>
          </cell>
          <cell r="C47">
            <v>57.53</v>
          </cell>
          <cell r="D47">
            <v>57652.480000000003</v>
          </cell>
          <cell r="E47">
            <v>100.20855</v>
          </cell>
        </row>
        <row r="48">
          <cell r="A48">
            <v>221002</v>
          </cell>
          <cell r="B48" t="str">
            <v xml:space="preserve">쇠고기진육수４５０Ｇ          </v>
          </cell>
          <cell r="C48">
            <v>40.479999999999997</v>
          </cell>
          <cell r="D48">
            <v>3364.16</v>
          </cell>
          <cell r="E48">
            <v>8.3114599999999985</v>
          </cell>
        </row>
        <row r="49">
          <cell r="A49">
            <v>1050101</v>
          </cell>
          <cell r="B49" t="str">
            <v xml:space="preserve">쇠 고 기진 육 수              </v>
          </cell>
          <cell r="C49">
            <v>40.479999999999997</v>
          </cell>
          <cell r="D49">
            <v>3364.16</v>
          </cell>
          <cell r="E49">
            <v>8.3114599999999985</v>
          </cell>
        </row>
        <row r="50">
          <cell r="A50">
            <v>1050100</v>
          </cell>
          <cell r="B50" t="str">
            <v xml:space="preserve">진    육    수                </v>
          </cell>
          <cell r="C50">
            <v>40.479999999999997</v>
          </cell>
          <cell r="D50">
            <v>3364.16</v>
          </cell>
          <cell r="E50">
            <v>8.3114599999999985</v>
          </cell>
        </row>
        <row r="51">
          <cell r="A51">
            <v>221082</v>
          </cell>
          <cell r="B51" t="str">
            <v xml:space="preserve">기획／육수본쇠고기１４０Ｇ    </v>
          </cell>
          <cell r="C51">
            <v>18.07</v>
          </cell>
          <cell r="D51">
            <v>162</v>
          </cell>
          <cell r="E51">
            <v>0.89639999999999997</v>
          </cell>
        </row>
        <row r="52">
          <cell r="A52">
            <v>1050201</v>
          </cell>
          <cell r="C52">
            <v>18.07</v>
          </cell>
          <cell r="D52">
            <v>162</v>
          </cell>
          <cell r="E52">
            <v>0.89639999999999997</v>
          </cell>
        </row>
        <row r="53">
          <cell r="A53">
            <v>221092</v>
          </cell>
          <cell r="B53" t="str">
            <v xml:space="preserve">기획／육수본조개１４０Ｇ      </v>
          </cell>
          <cell r="C53">
            <v>14.46</v>
          </cell>
          <cell r="D53">
            <v>64.8</v>
          </cell>
          <cell r="E53">
            <v>0.44819999999999999</v>
          </cell>
        </row>
        <row r="54">
          <cell r="A54">
            <v>1050202</v>
          </cell>
          <cell r="C54">
            <v>14.46</v>
          </cell>
          <cell r="D54">
            <v>64.8</v>
          </cell>
          <cell r="E54">
            <v>0.44819999999999999</v>
          </cell>
        </row>
        <row r="55">
          <cell r="A55">
            <v>221112</v>
          </cell>
          <cell r="B55" t="str">
            <v xml:space="preserve">기획／육수본가쓰오１４０Ｇ    </v>
          </cell>
          <cell r="C55">
            <v>19.28</v>
          </cell>
          <cell r="D55">
            <v>28.8</v>
          </cell>
          <cell r="E55">
            <v>0.14940000000000001</v>
          </cell>
        </row>
        <row r="56">
          <cell r="A56">
            <v>1050203</v>
          </cell>
          <cell r="C56">
            <v>19.28</v>
          </cell>
          <cell r="D56">
            <v>28.8</v>
          </cell>
          <cell r="E56">
            <v>0.14940000000000001</v>
          </cell>
        </row>
        <row r="57">
          <cell r="A57">
            <v>1050200</v>
          </cell>
          <cell r="C57">
            <v>17.11</v>
          </cell>
          <cell r="D57">
            <v>255.6</v>
          </cell>
          <cell r="E57">
            <v>1.494</v>
          </cell>
        </row>
        <row r="58">
          <cell r="A58">
            <v>1050000</v>
          </cell>
          <cell r="C58">
            <v>36.92</v>
          </cell>
          <cell r="D58">
            <v>3619.76</v>
          </cell>
          <cell r="E58">
            <v>9.8054599999999983</v>
          </cell>
        </row>
        <row r="59">
          <cell r="A59">
            <v>60111</v>
          </cell>
          <cell r="B59" t="str">
            <v xml:space="preserve">청정원올리고당７００Ｇ        </v>
          </cell>
          <cell r="C59">
            <v>38</v>
          </cell>
          <cell r="D59">
            <v>1140</v>
          </cell>
          <cell r="E59">
            <v>3</v>
          </cell>
        </row>
        <row r="60">
          <cell r="A60">
            <v>1700101</v>
          </cell>
          <cell r="B60" t="str">
            <v xml:space="preserve">올 리 고 당 (가)              </v>
          </cell>
          <cell r="C60">
            <v>38</v>
          </cell>
          <cell r="D60">
            <v>1140</v>
          </cell>
          <cell r="E60">
            <v>3</v>
          </cell>
        </row>
        <row r="61">
          <cell r="A61">
            <v>1700100</v>
          </cell>
          <cell r="B61" t="str">
            <v xml:space="preserve">올  리  고  당                </v>
          </cell>
          <cell r="C61">
            <v>38</v>
          </cell>
          <cell r="D61">
            <v>1140</v>
          </cell>
          <cell r="E61">
            <v>3</v>
          </cell>
        </row>
        <row r="62">
          <cell r="A62">
            <v>60411</v>
          </cell>
          <cell r="B62" t="str">
            <v xml:space="preserve">그린스위트１Ｇ스틱８０        </v>
          </cell>
          <cell r="C62">
            <v>23.64</v>
          </cell>
          <cell r="D62">
            <v>374.4</v>
          </cell>
          <cell r="E62">
            <v>1.5840000000000001</v>
          </cell>
        </row>
        <row r="63">
          <cell r="A63">
            <v>60417</v>
          </cell>
          <cell r="B63" t="str">
            <v xml:space="preserve">슈멜로３６０ＭＬ＋티스푼      </v>
          </cell>
          <cell r="C63">
            <v>59.76</v>
          </cell>
          <cell r="D63">
            <v>150.6</v>
          </cell>
          <cell r="E63">
            <v>0.252</v>
          </cell>
        </row>
        <row r="64">
          <cell r="A64">
            <v>1700301</v>
          </cell>
          <cell r="B64" t="str">
            <v xml:space="preserve">그린스위트 （가）             </v>
          </cell>
          <cell r="C64">
            <v>28.59</v>
          </cell>
          <cell r="D64">
            <v>525</v>
          </cell>
          <cell r="E64">
            <v>1.8360000000000001</v>
          </cell>
        </row>
        <row r="65">
          <cell r="A65">
            <v>1700300</v>
          </cell>
          <cell r="B65" t="str">
            <v xml:space="preserve">그 린 스 위 트                </v>
          </cell>
          <cell r="C65">
            <v>28.59</v>
          </cell>
          <cell r="D65">
            <v>525</v>
          </cell>
          <cell r="E65">
            <v>1.8360000000000001</v>
          </cell>
        </row>
        <row r="66">
          <cell r="A66">
            <v>790115</v>
          </cell>
          <cell r="B66" t="str">
            <v xml:space="preserve">올리고쌀엿１．２ＫＧ          </v>
          </cell>
          <cell r="C66">
            <v>31.65</v>
          </cell>
          <cell r="D66">
            <v>464.64</v>
          </cell>
          <cell r="E66">
            <v>1.4678399999999998</v>
          </cell>
        </row>
        <row r="67">
          <cell r="A67">
            <v>790116</v>
          </cell>
          <cell r="B67" t="str">
            <v xml:space="preserve">올리고쌀엿３ＫＧ              </v>
          </cell>
          <cell r="C67">
            <v>30.27</v>
          </cell>
          <cell r="D67">
            <v>3038.04</v>
          </cell>
          <cell r="E67">
            <v>10.03806</v>
          </cell>
        </row>
        <row r="68">
          <cell r="A68">
            <v>790117</v>
          </cell>
          <cell r="B68" t="str">
            <v>올리고쌀엿１．２ＫＧ＋사과식초</v>
          </cell>
          <cell r="C68">
            <v>31.69</v>
          </cell>
          <cell r="D68">
            <v>1893.6</v>
          </cell>
          <cell r="E68">
            <v>5.9748000000000001</v>
          </cell>
        </row>
        <row r="69">
          <cell r="A69">
            <v>1700903</v>
          </cell>
          <cell r="B69" t="str">
            <v xml:space="preserve">올 리 고   쌀 엿              </v>
          </cell>
          <cell r="C69">
            <v>30.87</v>
          </cell>
          <cell r="D69">
            <v>5396.28</v>
          </cell>
          <cell r="E69">
            <v>17.480700000000002</v>
          </cell>
        </row>
        <row r="70">
          <cell r="A70">
            <v>1700900</v>
          </cell>
          <cell r="B70" t="str">
            <v xml:space="preserve">쌀          엿                </v>
          </cell>
          <cell r="C70">
            <v>30.87</v>
          </cell>
          <cell r="D70">
            <v>5396.28</v>
          </cell>
          <cell r="E70">
            <v>17.480700000000002</v>
          </cell>
        </row>
        <row r="71">
          <cell r="A71">
            <v>800024</v>
          </cell>
          <cell r="B71" t="str">
            <v xml:space="preserve">맥아물엿１．２ＫＧ            </v>
          </cell>
          <cell r="C71">
            <v>47.32</v>
          </cell>
          <cell r="D71">
            <v>4668.24</v>
          </cell>
          <cell r="E71">
            <v>9.86496</v>
          </cell>
        </row>
        <row r="72">
          <cell r="A72">
            <v>800025</v>
          </cell>
          <cell r="B72" t="str">
            <v xml:space="preserve">맥아물엿２．４５ＫＧ          </v>
          </cell>
          <cell r="C72">
            <v>43.94</v>
          </cell>
          <cell r="D72">
            <v>3700.08</v>
          </cell>
          <cell r="E72">
            <v>8.421479999999999</v>
          </cell>
        </row>
        <row r="73">
          <cell r="A73">
            <v>1701101</v>
          </cell>
          <cell r="B73" t="str">
            <v xml:space="preserve">물      엿 （가）             </v>
          </cell>
          <cell r="C73">
            <v>45.76</v>
          </cell>
          <cell r="D73">
            <v>8368.32</v>
          </cell>
          <cell r="E73">
            <v>18.286439999999999</v>
          </cell>
        </row>
        <row r="74">
          <cell r="A74">
            <v>1701100</v>
          </cell>
          <cell r="B74" t="str">
            <v xml:space="preserve">물          엿                </v>
          </cell>
          <cell r="C74">
            <v>45.76</v>
          </cell>
          <cell r="D74">
            <v>8368.32</v>
          </cell>
          <cell r="E74">
            <v>18.286439999999999</v>
          </cell>
        </row>
        <row r="75">
          <cell r="A75">
            <v>800152</v>
          </cell>
          <cell r="B75" t="str">
            <v xml:space="preserve">요리조청１．２ＫＧ            </v>
          </cell>
          <cell r="C75">
            <v>19.149999999999999</v>
          </cell>
          <cell r="D75">
            <v>786.83</v>
          </cell>
          <cell r="E75">
            <v>4.1085600000000007</v>
          </cell>
        </row>
        <row r="76">
          <cell r="A76">
            <v>1701301</v>
          </cell>
          <cell r="B76" t="str">
            <v xml:space="preserve">요 리 조 청（가）             </v>
          </cell>
          <cell r="C76">
            <v>19.149999999999999</v>
          </cell>
          <cell r="D76">
            <v>786.83</v>
          </cell>
          <cell r="E76">
            <v>4.1085600000000007</v>
          </cell>
        </row>
        <row r="77">
          <cell r="A77">
            <v>1701300</v>
          </cell>
          <cell r="B77" t="str">
            <v xml:space="preserve">요　리　조　청                </v>
          </cell>
          <cell r="C77">
            <v>19.149999999999999</v>
          </cell>
          <cell r="D77">
            <v>786.83</v>
          </cell>
          <cell r="E77">
            <v>4.1085600000000007</v>
          </cell>
        </row>
        <row r="78">
          <cell r="A78">
            <v>1700000</v>
          </cell>
          <cell r="B78" t="str">
            <v xml:space="preserve">당          류                </v>
          </cell>
          <cell r="C78">
            <v>36.270000000000003</v>
          </cell>
          <cell r="D78">
            <v>16216.43</v>
          </cell>
          <cell r="E78">
            <v>44.7117</v>
          </cell>
        </row>
        <row r="79">
          <cell r="A79">
            <v>880121</v>
          </cell>
          <cell r="B79" t="str">
            <v>찰고추장비닐５００Ｇ　　　　　</v>
          </cell>
          <cell r="C79">
            <v>45.26</v>
          </cell>
          <cell r="D79">
            <v>6026.88</v>
          </cell>
          <cell r="E79">
            <v>13.315200000000001</v>
          </cell>
        </row>
        <row r="80">
          <cell r="A80">
            <v>880134</v>
          </cell>
          <cell r="B80" t="str">
            <v>찰고추장사각１ＫＧ　　　　　　</v>
          </cell>
          <cell r="C80">
            <v>44.14</v>
          </cell>
          <cell r="D80">
            <v>2206.85</v>
          </cell>
          <cell r="E80">
            <v>4.9996800000000006</v>
          </cell>
        </row>
        <row r="81">
          <cell r="A81">
            <v>880135</v>
          </cell>
          <cell r="B81" t="str">
            <v xml:space="preserve">찰고추장원통２．４ＫＧ        </v>
          </cell>
          <cell r="C81">
            <v>26.19</v>
          </cell>
          <cell r="D81">
            <v>34037.4</v>
          </cell>
          <cell r="E81">
            <v>129.95939999999999</v>
          </cell>
        </row>
        <row r="82">
          <cell r="A82">
            <v>880148</v>
          </cell>
          <cell r="B82" t="str">
            <v xml:space="preserve">찰고추장사각３ＫＧ　　　　    </v>
          </cell>
          <cell r="C82">
            <v>39.340000000000003</v>
          </cell>
          <cell r="D82">
            <v>1511.14</v>
          </cell>
          <cell r="E82">
            <v>3.84144</v>
          </cell>
        </row>
        <row r="83">
          <cell r="A83">
            <v>880152</v>
          </cell>
          <cell r="B83" t="str">
            <v xml:space="preserve">찰고추장비닐９００Ｇ　　　　  </v>
          </cell>
          <cell r="C83">
            <v>43.77</v>
          </cell>
          <cell r="D83">
            <v>5813.39</v>
          </cell>
          <cell r="E83">
            <v>13.282080000000001</v>
          </cell>
        </row>
        <row r="84">
          <cell r="A84">
            <v>880163</v>
          </cell>
          <cell r="B84" t="str">
            <v xml:space="preserve">찰고추장원통１．４ＫＧ        </v>
          </cell>
          <cell r="C84">
            <v>38.67</v>
          </cell>
          <cell r="D84">
            <v>2787.48</v>
          </cell>
          <cell r="E84">
            <v>7.2089999999999996</v>
          </cell>
        </row>
        <row r="85">
          <cell r="A85">
            <v>880165</v>
          </cell>
          <cell r="B85" t="str">
            <v xml:space="preserve">찰고추장원통５．３ＫＧ        </v>
          </cell>
          <cell r="C85">
            <v>35.08</v>
          </cell>
          <cell r="D85">
            <v>297.02</v>
          </cell>
          <cell r="E85">
            <v>0.8468</v>
          </cell>
        </row>
        <row r="86">
          <cell r="A86">
            <v>880175</v>
          </cell>
          <cell r="B86" t="str">
            <v xml:space="preserve">초고추장튜브３１０Ｇ          </v>
          </cell>
          <cell r="C86">
            <v>37.35</v>
          </cell>
          <cell r="D86">
            <v>3733.8</v>
          </cell>
          <cell r="E86">
            <v>9.9960000000000004</v>
          </cell>
        </row>
        <row r="87">
          <cell r="A87">
            <v>880176</v>
          </cell>
          <cell r="B87" t="str">
            <v xml:space="preserve">초고추장튜브５３０Ｇ          </v>
          </cell>
          <cell r="C87">
            <v>39.299999999999997</v>
          </cell>
          <cell r="D87">
            <v>5664.88</v>
          </cell>
          <cell r="E87">
            <v>14.413600000000001</v>
          </cell>
        </row>
        <row r="88">
          <cell r="A88">
            <v>880236</v>
          </cell>
          <cell r="B88" t="str">
            <v xml:space="preserve">찰고추장３ＫＧ＋된장１ＫＧ    </v>
          </cell>
          <cell r="C88">
            <v>41.39</v>
          </cell>
          <cell r="D88">
            <v>450</v>
          </cell>
          <cell r="E88">
            <v>1.0871999999999999</v>
          </cell>
        </row>
        <row r="89">
          <cell r="A89">
            <v>880254</v>
          </cell>
          <cell r="B89" t="str">
            <v xml:space="preserve">e햇고추장사각２ＫＧ           </v>
          </cell>
          <cell r="C89">
            <v>37.61</v>
          </cell>
          <cell r="D89">
            <v>1412.4</v>
          </cell>
          <cell r="E89">
            <v>3.7557</v>
          </cell>
        </row>
        <row r="90">
          <cell r="A90">
            <v>880266</v>
          </cell>
          <cell r="B90" t="str">
            <v xml:space="preserve">찰고추장２．８ＫＧ            </v>
          </cell>
          <cell r="C90">
            <v>24.4</v>
          </cell>
          <cell r="D90">
            <v>4006.4</v>
          </cell>
          <cell r="E90">
            <v>16.422400000000003</v>
          </cell>
        </row>
        <row r="91">
          <cell r="A91">
            <v>880270</v>
          </cell>
          <cell r="B91" t="str">
            <v>찰고추장１ＫＧ＋매고추１８０Ｇ</v>
          </cell>
          <cell r="C91">
            <v>34.520000000000003</v>
          </cell>
          <cell r="D91">
            <v>5278.2</v>
          </cell>
          <cell r="E91">
            <v>15.29196</v>
          </cell>
        </row>
        <row r="92">
          <cell r="A92">
            <v>880272</v>
          </cell>
          <cell r="B92" t="str">
            <v>찰고추장사각２ＫＧ＋된장５００</v>
          </cell>
          <cell r="C92">
            <v>30.11</v>
          </cell>
          <cell r="D92">
            <v>3532.8</v>
          </cell>
          <cell r="E92">
            <v>11.731200000000001</v>
          </cell>
        </row>
        <row r="93">
          <cell r="A93">
            <v>880273</v>
          </cell>
          <cell r="B93" t="str">
            <v xml:space="preserve">ｅ순창햇고추장３ＫＧ          </v>
          </cell>
          <cell r="C93">
            <v>0</v>
          </cell>
          <cell r="D93">
            <v>0</v>
          </cell>
          <cell r="E93">
            <v>0</v>
          </cell>
        </row>
        <row r="94">
          <cell r="A94">
            <v>3030101</v>
          </cell>
          <cell r="B94" t="str">
            <v xml:space="preserve">고  추  장 （가）             </v>
          </cell>
          <cell r="C94">
            <v>31.18</v>
          </cell>
          <cell r="D94">
            <v>76758.63</v>
          </cell>
          <cell r="E94">
            <v>246.15165999999999</v>
          </cell>
        </row>
        <row r="95">
          <cell r="A95">
            <v>601034</v>
          </cell>
          <cell r="B95" t="str">
            <v xml:space="preserve">명품고추장캔１４ＫＧ          </v>
          </cell>
          <cell r="C95">
            <v>30.76</v>
          </cell>
          <cell r="D95">
            <v>1838.59</v>
          </cell>
          <cell r="E95">
            <v>5.9769600000000001</v>
          </cell>
        </row>
        <row r="96">
          <cell r="A96">
            <v>881101</v>
          </cell>
          <cell r="B96" t="str">
            <v xml:space="preserve">찰고추장캔１４ＫＧ            </v>
          </cell>
          <cell r="C96">
            <v>36.19</v>
          </cell>
          <cell r="D96">
            <v>244.44</v>
          </cell>
          <cell r="E96">
            <v>0.67550999999999994</v>
          </cell>
        </row>
        <row r="97">
          <cell r="A97">
            <v>881102</v>
          </cell>
          <cell r="B97" t="str">
            <v xml:space="preserve">진고추장캔１４ＫＧ            </v>
          </cell>
          <cell r="C97">
            <v>25.79</v>
          </cell>
          <cell r="D97">
            <v>615.23</v>
          </cell>
          <cell r="E97">
            <v>2.3859499999999998</v>
          </cell>
        </row>
        <row r="98">
          <cell r="A98">
            <v>3030103</v>
          </cell>
          <cell r="B98" t="str">
            <v xml:space="preserve">고  추  장 （업）             </v>
          </cell>
          <cell r="C98">
            <v>29.85</v>
          </cell>
          <cell r="D98">
            <v>2698.27</v>
          </cell>
          <cell r="E98">
            <v>9.0384200000000003</v>
          </cell>
        </row>
        <row r="99">
          <cell r="A99">
            <v>880200</v>
          </cell>
          <cell r="B99" t="str">
            <v xml:space="preserve">매운고추장사각５００Ｇ        </v>
          </cell>
          <cell r="C99">
            <v>45.27</v>
          </cell>
          <cell r="D99">
            <v>4704.96</v>
          </cell>
          <cell r="E99">
            <v>10.393600000000001</v>
          </cell>
        </row>
        <row r="100">
          <cell r="A100">
            <v>880202</v>
          </cell>
          <cell r="B100" t="str">
            <v xml:space="preserve">매운고추장사각１ＫＧ          </v>
          </cell>
          <cell r="C100">
            <v>42.2</v>
          </cell>
          <cell r="D100">
            <v>735.07</v>
          </cell>
          <cell r="E100">
            <v>1.7419200000000001</v>
          </cell>
        </row>
        <row r="101">
          <cell r="A101">
            <v>880208</v>
          </cell>
          <cell r="B101" t="str">
            <v xml:space="preserve">매운고추장원통７ＫＧ          </v>
          </cell>
          <cell r="C101">
            <v>43.72</v>
          </cell>
          <cell r="D101">
            <v>3120.8</v>
          </cell>
          <cell r="E101">
            <v>7.1379999999999999</v>
          </cell>
        </row>
        <row r="102">
          <cell r="A102">
            <v>880217</v>
          </cell>
          <cell r="B102" t="str">
            <v>매운고추장１ＫＧ＋콩된장＋쌈장</v>
          </cell>
          <cell r="C102">
            <v>24.45</v>
          </cell>
          <cell r="D102">
            <v>1901.18</v>
          </cell>
          <cell r="E102">
            <v>7.7763800000000005</v>
          </cell>
        </row>
        <row r="103">
          <cell r="A103">
            <v>3030105</v>
          </cell>
          <cell r="B103" t="str">
            <v xml:space="preserve">매  운  고 추 장              </v>
          </cell>
          <cell r="C103">
            <v>38.68</v>
          </cell>
          <cell r="D103">
            <v>10462.02</v>
          </cell>
          <cell r="E103">
            <v>27.049900000000001</v>
          </cell>
        </row>
        <row r="104">
          <cell r="A104">
            <v>881160</v>
          </cell>
          <cell r="B104" t="str">
            <v xml:space="preserve">순한고추장사각５００Ｇ        </v>
          </cell>
          <cell r="C104">
            <v>56.25</v>
          </cell>
          <cell r="D104">
            <v>25.2</v>
          </cell>
          <cell r="E104">
            <v>4.48E-2</v>
          </cell>
        </row>
        <row r="105">
          <cell r="A105">
            <v>3030106</v>
          </cell>
          <cell r="B105" t="str">
            <v xml:space="preserve">순 한 고 추 장                </v>
          </cell>
          <cell r="C105">
            <v>56.25</v>
          </cell>
          <cell r="D105">
            <v>25.2</v>
          </cell>
          <cell r="E105">
            <v>4.48E-2</v>
          </cell>
        </row>
        <row r="106">
          <cell r="A106">
            <v>3030100</v>
          </cell>
          <cell r="B106" t="str">
            <v xml:space="preserve">고    추    장                </v>
          </cell>
          <cell r="C106">
            <v>31.86</v>
          </cell>
          <cell r="D106">
            <v>89944.11</v>
          </cell>
          <cell r="E106">
            <v>282.28478000000001</v>
          </cell>
        </row>
        <row r="107">
          <cell r="A107">
            <v>600960</v>
          </cell>
          <cell r="B107" t="str">
            <v xml:space="preserve">순창된장비닐５００Ｇ          </v>
          </cell>
          <cell r="C107">
            <v>41.88</v>
          </cell>
          <cell r="D107">
            <v>2649.98</v>
          </cell>
          <cell r="E107">
            <v>6.3283199999999997</v>
          </cell>
        </row>
        <row r="108">
          <cell r="A108">
            <v>880985</v>
          </cell>
          <cell r="B108" t="str">
            <v xml:space="preserve">순창된장사각１ＫＧ            </v>
          </cell>
          <cell r="C108">
            <v>39.880000000000003</v>
          </cell>
          <cell r="D108">
            <v>1926.6</v>
          </cell>
          <cell r="E108">
            <v>4.8313199999999998</v>
          </cell>
        </row>
        <row r="109">
          <cell r="A109">
            <v>880988</v>
          </cell>
          <cell r="B109" t="str">
            <v xml:space="preserve">햇살된장에발４５０Ｇ          </v>
          </cell>
          <cell r="C109">
            <v>38.71</v>
          </cell>
          <cell r="D109">
            <v>1652.02</v>
          </cell>
          <cell r="E109">
            <v>4.2671999999999999</v>
          </cell>
        </row>
        <row r="110">
          <cell r="A110">
            <v>880991</v>
          </cell>
          <cell r="B110" t="str">
            <v xml:space="preserve">순창된장원통２ＫＧ            </v>
          </cell>
          <cell r="C110">
            <v>32.799999999999997</v>
          </cell>
          <cell r="D110">
            <v>3459.74</v>
          </cell>
          <cell r="E110">
            <v>10.548</v>
          </cell>
        </row>
        <row r="111">
          <cell r="A111">
            <v>3030301</v>
          </cell>
          <cell r="B111" t="str">
            <v xml:space="preserve">된      장 （가）             </v>
          </cell>
          <cell r="C111">
            <v>37.299999999999997</v>
          </cell>
          <cell r="D111">
            <v>9688.34</v>
          </cell>
          <cell r="E111">
            <v>25.97484</v>
          </cell>
        </row>
        <row r="112">
          <cell r="A112">
            <v>600962</v>
          </cell>
          <cell r="B112" t="str">
            <v xml:space="preserve">순창된장지함１４ＫＧ          </v>
          </cell>
          <cell r="C112">
            <v>26.35</v>
          </cell>
          <cell r="D112">
            <v>1643.9</v>
          </cell>
          <cell r="E112">
            <v>6.2380800000000001</v>
          </cell>
        </row>
        <row r="113">
          <cell r="A113">
            <v>3030303</v>
          </cell>
          <cell r="B113" t="str">
            <v xml:space="preserve">된      장 （업）             </v>
          </cell>
          <cell r="C113">
            <v>26.35</v>
          </cell>
          <cell r="D113">
            <v>1643.9</v>
          </cell>
          <cell r="E113">
            <v>6.2380800000000001</v>
          </cell>
        </row>
        <row r="114">
          <cell r="A114">
            <v>880402</v>
          </cell>
          <cell r="B114" t="str">
            <v xml:space="preserve">순창콩된장９００Ｇ            </v>
          </cell>
          <cell r="C114">
            <v>50.7</v>
          </cell>
          <cell r="D114">
            <v>1264.96</v>
          </cell>
          <cell r="E114">
            <v>2.4948000000000001</v>
          </cell>
        </row>
        <row r="115">
          <cell r="A115">
            <v>880406</v>
          </cell>
          <cell r="B115" t="str">
            <v xml:space="preserve">콩된장９００Ｇ＋매운１８０Ｇ  </v>
          </cell>
          <cell r="C115">
            <v>34.81</v>
          </cell>
          <cell r="D115">
            <v>3124.56</v>
          </cell>
          <cell r="E115">
            <v>8.9748000000000001</v>
          </cell>
        </row>
        <row r="116">
          <cell r="A116">
            <v>3030305</v>
          </cell>
          <cell r="B116" t="str">
            <v xml:space="preserve">콩     된     장              </v>
          </cell>
          <cell r="C116">
            <v>38.270000000000003</v>
          </cell>
          <cell r="D116">
            <v>4389.5200000000004</v>
          </cell>
          <cell r="E116">
            <v>11.4696</v>
          </cell>
        </row>
        <row r="117">
          <cell r="A117">
            <v>3030300</v>
          </cell>
          <cell r="B117" t="str">
            <v xml:space="preserve">된　        장                </v>
          </cell>
          <cell r="C117">
            <v>35.99</v>
          </cell>
          <cell r="D117">
            <v>15721.76</v>
          </cell>
          <cell r="E117">
            <v>43.682519999999997</v>
          </cell>
        </row>
        <row r="118">
          <cell r="A118">
            <v>881017</v>
          </cell>
          <cell r="B118" t="str">
            <v xml:space="preserve">순창쌈장비닐５００Ｇ　　　　  </v>
          </cell>
          <cell r="C118">
            <v>51.09</v>
          </cell>
          <cell r="D118">
            <v>3846.48</v>
          </cell>
          <cell r="E118">
            <v>7.52928</v>
          </cell>
        </row>
        <row r="119">
          <cell r="A119">
            <v>881020</v>
          </cell>
          <cell r="B119" t="str">
            <v xml:space="preserve">순창쌈장사각５００Ｇ          </v>
          </cell>
          <cell r="C119">
            <v>52.71</v>
          </cell>
          <cell r="D119">
            <v>10337.58</v>
          </cell>
          <cell r="E119">
            <v>19.6128</v>
          </cell>
        </row>
        <row r="120">
          <cell r="A120">
            <v>881021</v>
          </cell>
          <cell r="B120" t="str">
            <v xml:space="preserve">순창쌈장사각１ＫＧ            </v>
          </cell>
          <cell r="C120">
            <v>45.41</v>
          </cell>
          <cell r="D120">
            <v>4549.8599999999997</v>
          </cell>
          <cell r="E120">
            <v>10.018799999999999</v>
          </cell>
        </row>
        <row r="121">
          <cell r="A121">
            <v>881027</v>
          </cell>
          <cell r="B121" t="str">
            <v xml:space="preserve">순창쌈장원통２ＫＧ            </v>
          </cell>
          <cell r="C121">
            <v>42.78</v>
          </cell>
          <cell r="D121">
            <v>2467.29</v>
          </cell>
          <cell r="E121">
            <v>5.7678599999999998</v>
          </cell>
        </row>
        <row r="122">
          <cell r="A122">
            <v>3030501</v>
          </cell>
          <cell r="B122" t="str">
            <v xml:space="preserve">쌈      장 （가）             </v>
          </cell>
          <cell r="C122">
            <v>49.39</v>
          </cell>
          <cell r="D122">
            <v>21201.21</v>
          </cell>
          <cell r="E122">
            <v>42.928739999999998</v>
          </cell>
        </row>
        <row r="123">
          <cell r="A123">
            <v>981018</v>
          </cell>
          <cell r="B123" t="str">
            <v xml:space="preserve">순창쌈장캔１４ＫＧ            </v>
          </cell>
          <cell r="C123">
            <v>31</v>
          </cell>
          <cell r="D123">
            <v>204.36</v>
          </cell>
          <cell r="E123">
            <v>0.6593</v>
          </cell>
        </row>
        <row r="124">
          <cell r="A124">
            <v>3030503</v>
          </cell>
          <cell r="B124" t="str">
            <v xml:space="preserve">쌈      장 （업）             </v>
          </cell>
          <cell r="C124">
            <v>31</v>
          </cell>
          <cell r="D124">
            <v>204.36</v>
          </cell>
          <cell r="E124">
            <v>0.6593</v>
          </cell>
        </row>
        <row r="125">
          <cell r="A125">
            <v>3030500</v>
          </cell>
          <cell r="B125" t="str">
            <v xml:space="preserve">쌈　        장                </v>
          </cell>
          <cell r="C125">
            <v>49.11</v>
          </cell>
          <cell r="D125">
            <v>21405.57</v>
          </cell>
          <cell r="E125">
            <v>43.588039999999999</v>
          </cell>
        </row>
        <row r="126">
          <cell r="A126">
            <v>603014</v>
          </cell>
          <cell r="B126" t="str">
            <v xml:space="preserve">햇살조림간장９８０Ｇ          </v>
          </cell>
          <cell r="C126">
            <v>53.25</v>
          </cell>
          <cell r="D126">
            <v>9572.2199999999993</v>
          </cell>
          <cell r="E126">
            <v>17.975999999999999</v>
          </cell>
        </row>
        <row r="127">
          <cell r="A127">
            <v>603018</v>
          </cell>
          <cell r="B127" t="str">
            <v xml:space="preserve">햇살조림간장１．７Ｌ          </v>
          </cell>
          <cell r="C127">
            <v>38.42</v>
          </cell>
          <cell r="D127">
            <v>5512.96</v>
          </cell>
          <cell r="E127">
            <v>14.348799999999999</v>
          </cell>
        </row>
        <row r="128">
          <cell r="A128">
            <v>3030705</v>
          </cell>
          <cell r="B128" t="str">
            <v xml:space="preserve">햇  살    조  림              </v>
          </cell>
          <cell r="C128">
            <v>46.67</v>
          </cell>
          <cell r="D128">
            <v>15085.18</v>
          </cell>
          <cell r="E128">
            <v>32.324799999999996</v>
          </cell>
        </row>
        <row r="129">
          <cell r="A129">
            <v>603102</v>
          </cell>
          <cell r="B129" t="str">
            <v xml:space="preserve">햇살소스간장４８５Ｇ          </v>
          </cell>
          <cell r="C129">
            <v>43.36</v>
          </cell>
          <cell r="D129">
            <v>1007.42</v>
          </cell>
          <cell r="E129">
            <v>2.3231999999999999</v>
          </cell>
        </row>
        <row r="130">
          <cell r="A130">
            <v>3030707</v>
          </cell>
          <cell r="B130" t="str">
            <v xml:space="preserve">햇  살    소  스              </v>
          </cell>
          <cell r="C130">
            <v>43.36</v>
          </cell>
          <cell r="D130">
            <v>1007.42</v>
          </cell>
          <cell r="E130">
            <v>2.3231999999999999</v>
          </cell>
        </row>
        <row r="131">
          <cell r="A131">
            <v>603152</v>
          </cell>
          <cell r="B131" t="str">
            <v xml:space="preserve">햇살국간장９９０Ｇ            </v>
          </cell>
          <cell r="C131">
            <v>45.64</v>
          </cell>
          <cell r="D131">
            <v>3763.43</v>
          </cell>
          <cell r="E131">
            <v>8.2459199999999999</v>
          </cell>
        </row>
        <row r="132">
          <cell r="A132">
            <v>3030709</v>
          </cell>
          <cell r="B132" t="str">
            <v xml:space="preserve">햇  살        국              </v>
          </cell>
          <cell r="C132">
            <v>45.64</v>
          </cell>
          <cell r="D132">
            <v>3763.43</v>
          </cell>
          <cell r="E132">
            <v>8.2459199999999999</v>
          </cell>
        </row>
        <row r="133">
          <cell r="A133">
            <v>603175</v>
          </cell>
          <cell r="B133" t="str">
            <v xml:space="preserve">햇살진간장１Ｌ                </v>
          </cell>
          <cell r="C133">
            <v>40.92</v>
          </cell>
          <cell r="D133">
            <v>1192.8</v>
          </cell>
          <cell r="E133">
            <v>2.9148000000000001</v>
          </cell>
        </row>
        <row r="134">
          <cell r="A134">
            <v>603176</v>
          </cell>
          <cell r="B134" t="str">
            <v xml:space="preserve">햇살진간장１．７Ｌ            </v>
          </cell>
          <cell r="C134">
            <v>28.22</v>
          </cell>
          <cell r="D134">
            <v>-459.36</v>
          </cell>
          <cell r="E134">
            <v>-1.6275999999999999</v>
          </cell>
        </row>
        <row r="135">
          <cell r="A135">
            <v>603192</v>
          </cell>
          <cell r="B135" t="str">
            <v xml:space="preserve">햇살진간장３．６Ｌ            </v>
          </cell>
          <cell r="C135">
            <v>39</v>
          </cell>
          <cell r="D135">
            <v>1266.72</v>
          </cell>
          <cell r="E135">
            <v>3.2480000000000002</v>
          </cell>
        </row>
        <row r="136">
          <cell r="A136">
            <v>603232</v>
          </cell>
          <cell r="B136" t="str">
            <v xml:space="preserve">햇살진１．７Ｌ＋진４２０ＭＬ  </v>
          </cell>
          <cell r="C136">
            <v>0</v>
          </cell>
          <cell r="D136">
            <v>0</v>
          </cell>
          <cell r="E136">
            <v>0</v>
          </cell>
        </row>
        <row r="137">
          <cell r="A137">
            <v>603233</v>
          </cell>
          <cell r="B137" t="str">
            <v xml:space="preserve">진１．７Ｌ＋옥배유５００ＭＬ  </v>
          </cell>
          <cell r="C137">
            <v>15.55</v>
          </cell>
          <cell r="D137">
            <v>52.8</v>
          </cell>
          <cell r="E137">
            <v>0.33960000000000001</v>
          </cell>
        </row>
        <row r="138">
          <cell r="A138">
            <v>603237</v>
          </cell>
          <cell r="B138" t="str">
            <v>햇살진１．７Ｌ＋까나리５００Ｇ</v>
          </cell>
          <cell r="C138">
            <v>14.49</v>
          </cell>
          <cell r="D138">
            <v>656</v>
          </cell>
          <cell r="E138">
            <v>4.5279999999999996</v>
          </cell>
        </row>
        <row r="139">
          <cell r="A139">
            <v>603239</v>
          </cell>
          <cell r="B139" t="str">
            <v>행／햇살진１．７Ｌ＋조림４９０</v>
          </cell>
          <cell r="C139">
            <v>10.15</v>
          </cell>
          <cell r="D139">
            <v>9593.6</v>
          </cell>
          <cell r="E139">
            <v>94.4756</v>
          </cell>
        </row>
        <row r="140">
          <cell r="A140">
            <v>3030711</v>
          </cell>
          <cell r="C140">
            <v>11.84</v>
          </cell>
          <cell r="D140">
            <v>12302.56</v>
          </cell>
          <cell r="E140">
            <v>103.8784</v>
          </cell>
        </row>
        <row r="141">
          <cell r="A141">
            <v>603185</v>
          </cell>
          <cell r="B141" t="str">
            <v xml:space="preserve">햇살양조간장１Ｌ              </v>
          </cell>
          <cell r="C141">
            <v>46.17</v>
          </cell>
          <cell r="D141">
            <v>1699.26</v>
          </cell>
          <cell r="E141">
            <v>3.6804600000000001</v>
          </cell>
        </row>
        <row r="142">
          <cell r="A142">
            <v>3030712</v>
          </cell>
          <cell r="B142" t="str">
            <v xml:space="preserve">햇  살    양  조              </v>
          </cell>
          <cell r="C142">
            <v>46.17</v>
          </cell>
          <cell r="D142">
            <v>1699.26</v>
          </cell>
          <cell r="E142">
            <v>3.6804600000000001</v>
          </cell>
        </row>
        <row r="143">
          <cell r="A143">
            <v>603200</v>
          </cell>
          <cell r="B143" t="str">
            <v xml:space="preserve">햇살매실간장１Ｌ／이마트      </v>
          </cell>
          <cell r="C143">
            <v>19.64</v>
          </cell>
          <cell r="D143">
            <v>11112.55</v>
          </cell>
          <cell r="E143">
            <v>56.584440000000001</v>
          </cell>
        </row>
        <row r="144">
          <cell r="A144">
            <v>603201</v>
          </cell>
          <cell r="B144" t="str">
            <v xml:space="preserve">햇살매실간장１．７Ｌ／이마트  </v>
          </cell>
          <cell r="C144">
            <v>4.8</v>
          </cell>
          <cell r="D144">
            <v>1622.11</v>
          </cell>
          <cell r="E144">
            <v>33.76464</v>
          </cell>
        </row>
        <row r="145">
          <cell r="A145">
            <v>3030717</v>
          </cell>
          <cell r="B145" t="str">
            <v xml:space="preserve">햇  살    매  실              </v>
          </cell>
          <cell r="C145">
            <v>14.09</v>
          </cell>
          <cell r="D145">
            <v>12734.66</v>
          </cell>
          <cell r="E145">
            <v>90.349080000000001</v>
          </cell>
        </row>
        <row r="146">
          <cell r="A146">
            <v>3030700</v>
          </cell>
          <cell r="B146" t="str">
            <v xml:space="preserve">간　        장                </v>
          </cell>
          <cell r="C146">
            <v>19.350000000000001</v>
          </cell>
          <cell r="D146">
            <v>46592.52</v>
          </cell>
          <cell r="E146">
            <v>240.80185999999998</v>
          </cell>
        </row>
        <row r="147">
          <cell r="A147">
            <v>3030000</v>
          </cell>
          <cell r="B147" t="str">
            <v xml:space="preserve">장　        류                </v>
          </cell>
          <cell r="C147">
            <v>28.45</v>
          </cell>
          <cell r="D147">
            <v>173663.97</v>
          </cell>
          <cell r="E147">
            <v>610.35719999999992</v>
          </cell>
        </row>
        <row r="148">
          <cell r="A148">
            <v>880313</v>
          </cell>
          <cell r="B148" t="str">
            <v>민속당면골드８６０Ｇ　　　　　</v>
          </cell>
          <cell r="C148">
            <v>-12.87</v>
          </cell>
          <cell r="D148">
            <v>-1989.05</v>
          </cell>
          <cell r="E148">
            <v>15.45124</v>
          </cell>
        </row>
        <row r="149">
          <cell r="A149">
            <v>3050101</v>
          </cell>
          <cell r="B149" t="str">
            <v xml:space="preserve">국    산  당  면              </v>
          </cell>
          <cell r="C149">
            <v>-12.87</v>
          </cell>
          <cell r="D149">
            <v>-1989.05</v>
          </cell>
          <cell r="E149">
            <v>15.45124</v>
          </cell>
        </row>
        <row r="150">
          <cell r="A150">
            <v>880321</v>
          </cell>
          <cell r="B150" t="str">
            <v xml:space="preserve">수라당면５００Ｇ              </v>
          </cell>
          <cell r="C150">
            <v>8.49</v>
          </cell>
          <cell r="D150">
            <v>5355.96</v>
          </cell>
          <cell r="E150">
            <v>63.061779999999999</v>
          </cell>
        </row>
        <row r="151">
          <cell r="A151">
            <v>3050107</v>
          </cell>
          <cell r="B151" t="str">
            <v xml:space="preserve">청 정 원  당  면              </v>
          </cell>
          <cell r="C151">
            <v>8.49</v>
          </cell>
          <cell r="D151">
            <v>5355.96</v>
          </cell>
          <cell r="E151">
            <v>63.061779999999999</v>
          </cell>
        </row>
        <row r="152">
          <cell r="A152">
            <v>3050100</v>
          </cell>
          <cell r="B152" t="str">
            <v xml:space="preserve">당          면                </v>
          </cell>
          <cell r="C152">
            <v>4.29</v>
          </cell>
          <cell r="D152">
            <v>3366.91</v>
          </cell>
          <cell r="E152">
            <v>78.513019999999997</v>
          </cell>
        </row>
        <row r="153">
          <cell r="A153">
            <v>3050000</v>
          </cell>
          <cell r="B153" t="str">
            <v xml:space="preserve">면　        류                </v>
          </cell>
          <cell r="C153">
            <v>4.29</v>
          </cell>
          <cell r="D153">
            <v>3366.91</v>
          </cell>
          <cell r="E153">
            <v>78.513019999999997</v>
          </cell>
        </row>
        <row r="154">
          <cell r="A154">
            <v>880907</v>
          </cell>
          <cell r="B154" t="str">
            <v xml:space="preserve">양조식초ＰＥＴ１．８Ｌ        </v>
          </cell>
          <cell r="C154">
            <v>-5.53</v>
          </cell>
          <cell r="D154">
            <v>-132.4</v>
          </cell>
          <cell r="E154">
            <v>2.39445</v>
          </cell>
        </row>
        <row r="155">
          <cell r="A155">
            <v>880912</v>
          </cell>
          <cell r="B155" t="str">
            <v>사과식초１．８Ｌ　　　　　　　</v>
          </cell>
          <cell r="C155">
            <v>-2.84</v>
          </cell>
          <cell r="D155">
            <v>-73.66</v>
          </cell>
          <cell r="E155">
            <v>2.5947</v>
          </cell>
        </row>
        <row r="156">
          <cell r="A156">
            <v>880913</v>
          </cell>
          <cell r="B156" t="str">
            <v>사과식초５００ＭＬ　　　　　　</v>
          </cell>
          <cell r="C156">
            <v>10.16</v>
          </cell>
          <cell r="D156">
            <v>582.14</v>
          </cell>
          <cell r="E156">
            <v>5.7304799999999991</v>
          </cell>
        </row>
        <row r="157">
          <cell r="A157">
            <v>880915</v>
          </cell>
          <cell r="B157" t="str">
            <v xml:space="preserve">현미식초５００ＭＬ　　　      </v>
          </cell>
          <cell r="C157">
            <v>2.2999999999999998</v>
          </cell>
          <cell r="D157">
            <v>67.39</v>
          </cell>
          <cell r="E157">
            <v>2.9315500000000001</v>
          </cell>
        </row>
        <row r="158">
          <cell r="A158">
            <v>3070101</v>
          </cell>
          <cell r="B158" t="str">
            <v xml:space="preserve">식      초 （가）             </v>
          </cell>
          <cell r="C158">
            <v>3.25</v>
          </cell>
          <cell r="D158">
            <v>443.48</v>
          </cell>
          <cell r="E158">
            <v>13.65118</v>
          </cell>
        </row>
        <row r="159">
          <cell r="A159">
            <v>880951</v>
          </cell>
          <cell r="B159" t="str">
            <v xml:space="preserve">２배양조식초９００ＭＬ        </v>
          </cell>
          <cell r="C159">
            <v>9.1300000000000008</v>
          </cell>
          <cell r="D159">
            <v>164.69</v>
          </cell>
          <cell r="E159">
            <v>1.8048</v>
          </cell>
        </row>
        <row r="160">
          <cell r="A160">
            <v>880953</v>
          </cell>
          <cell r="B160" t="str">
            <v xml:space="preserve">２배사과식초９００ＭＬ        </v>
          </cell>
          <cell r="C160">
            <v>12.19</v>
          </cell>
          <cell r="D160">
            <v>126.25</v>
          </cell>
          <cell r="E160">
            <v>1.03572</v>
          </cell>
        </row>
        <row r="161">
          <cell r="A161">
            <v>881203</v>
          </cell>
          <cell r="B161" t="str">
            <v>２배사과９００ＭＬ＋양조５００</v>
          </cell>
          <cell r="C161">
            <v>13.14</v>
          </cell>
          <cell r="D161">
            <v>572.4</v>
          </cell>
          <cell r="E161">
            <v>4.3566000000000003</v>
          </cell>
        </row>
        <row r="162">
          <cell r="A162">
            <v>3070107</v>
          </cell>
          <cell r="B162" t="str">
            <v xml:space="preserve">２ 배 진 한 식초              </v>
          </cell>
          <cell r="C162">
            <v>12</v>
          </cell>
          <cell r="D162">
            <v>863.34</v>
          </cell>
          <cell r="E162">
            <v>7.19712</v>
          </cell>
        </row>
        <row r="163">
          <cell r="A163">
            <v>3070100</v>
          </cell>
          <cell r="B163" t="str">
            <v xml:space="preserve">식          초                </v>
          </cell>
          <cell r="C163">
            <v>6.27</v>
          </cell>
          <cell r="D163">
            <v>1306.82</v>
          </cell>
          <cell r="E163">
            <v>20.848299999999998</v>
          </cell>
        </row>
        <row r="164">
          <cell r="A164">
            <v>3070000</v>
          </cell>
          <cell r="B164" t="str">
            <v xml:space="preserve">식    초    류                </v>
          </cell>
          <cell r="C164">
            <v>6.27</v>
          </cell>
          <cell r="D164">
            <v>1306.82</v>
          </cell>
          <cell r="E164">
            <v>20.848299999999998</v>
          </cell>
        </row>
        <row r="165">
          <cell r="A165">
            <v>500436</v>
          </cell>
          <cell r="B165" t="str">
            <v xml:space="preserve">샐마요과일５００Ｇ            </v>
          </cell>
          <cell r="C165">
            <v>43.75</v>
          </cell>
          <cell r="D165">
            <v>1219.68</v>
          </cell>
          <cell r="E165">
            <v>2.7878400000000001</v>
          </cell>
        </row>
        <row r="166">
          <cell r="A166">
            <v>500437</v>
          </cell>
          <cell r="B166" t="str">
            <v xml:space="preserve">샐마요야채５００Ｇ            </v>
          </cell>
          <cell r="C166">
            <v>41.48</v>
          </cell>
          <cell r="D166">
            <v>1883.4</v>
          </cell>
          <cell r="E166">
            <v>4.5407999999999999</v>
          </cell>
        </row>
        <row r="167">
          <cell r="A167">
            <v>500438</v>
          </cell>
          <cell r="B167" t="str">
            <v xml:space="preserve">샐마요머스타드５１０Ｇ        </v>
          </cell>
          <cell r="C167">
            <v>44.89</v>
          </cell>
          <cell r="D167">
            <v>948</v>
          </cell>
          <cell r="E167">
            <v>2.1120000000000001</v>
          </cell>
        </row>
        <row r="168">
          <cell r="A168">
            <v>500440</v>
          </cell>
          <cell r="B168" t="str">
            <v xml:space="preserve">마요５００케찹８００／이      </v>
          </cell>
          <cell r="C168">
            <v>10.89</v>
          </cell>
          <cell r="D168">
            <v>531.96</v>
          </cell>
          <cell r="E168">
            <v>4.88436</v>
          </cell>
        </row>
        <row r="169">
          <cell r="A169">
            <v>500451</v>
          </cell>
          <cell r="B169" t="str">
            <v xml:space="preserve">고소한마요네즈５００Ｇ        </v>
          </cell>
          <cell r="C169">
            <v>42.57</v>
          </cell>
          <cell r="D169">
            <v>3107.83</v>
          </cell>
          <cell r="E169">
            <v>7.3011099999999995</v>
          </cell>
        </row>
        <row r="170">
          <cell r="A170">
            <v>500452</v>
          </cell>
          <cell r="B170" t="str">
            <v xml:space="preserve">고소한마요네즈８００Ｇ        </v>
          </cell>
          <cell r="C170">
            <v>36.020000000000003</v>
          </cell>
          <cell r="D170">
            <v>2189.16</v>
          </cell>
          <cell r="E170">
            <v>6.0771600000000001</v>
          </cell>
        </row>
        <row r="171">
          <cell r="A171">
            <v>4010101</v>
          </cell>
          <cell r="B171" t="str">
            <v xml:space="preserve">마 요 네 즈（가）             </v>
          </cell>
          <cell r="C171">
            <v>35.659999999999997</v>
          </cell>
          <cell r="D171">
            <v>9880.0300000000007</v>
          </cell>
          <cell r="E171">
            <v>27.70327</v>
          </cell>
        </row>
        <row r="172">
          <cell r="A172">
            <v>500107</v>
          </cell>
          <cell r="B172" t="str">
            <v>마요네즈３．２ＫＧ　　　　　　</v>
          </cell>
          <cell r="C172">
            <v>20.329999999999998</v>
          </cell>
          <cell r="D172">
            <v>925.74</v>
          </cell>
          <cell r="E172">
            <v>4.5528000000000004</v>
          </cell>
        </row>
        <row r="173">
          <cell r="A173">
            <v>500250</v>
          </cell>
          <cell r="B173" t="str">
            <v>마요네즈１ＫＧ　　　　　　　　</v>
          </cell>
          <cell r="C173">
            <v>13.79</v>
          </cell>
          <cell r="D173">
            <v>248</v>
          </cell>
          <cell r="E173">
            <v>1.798</v>
          </cell>
        </row>
        <row r="174">
          <cell r="A174">
            <v>4010102</v>
          </cell>
          <cell r="B174" t="str">
            <v xml:space="preserve">마 요 네 즈（업）             </v>
          </cell>
          <cell r="C174">
            <v>18.48</v>
          </cell>
          <cell r="D174">
            <v>1173.74</v>
          </cell>
          <cell r="E174">
            <v>6.3508000000000004</v>
          </cell>
        </row>
        <row r="175">
          <cell r="A175">
            <v>4010100</v>
          </cell>
          <cell r="B175" t="str">
            <v xml:space="preserve">마  요  네  즈                </v>
          </cell>
          <cell r="C175">
            <v>32.46</v>
          </cell>
          <cell r="D175">
            <v>11053.77</v>
          </cell>
          <cell r="E175">
            <v>34.054070000000003</v>
          </cell>
        </row>
        <row r="176">
          <cell r="A176">
            <v>502001</v>
          </cell>
          <cell r="B176" t="str">
            <v>쇠고기죽８５Ｇ　　　　　　　　</v>
          </cell>
          <cell r="C176">
            <v>28.35</v>
          </cell>
          <cell r="D176">
            <v>937.44</v>
          </cell>
          <cell r="E176">
            <v>3.3062399999999998</v>
          </cell>
        </row>
        <row r="177">
          <cell r="A177">
            <v>502002</v>
          </cell>
          <cell r="B177" t="str">
            <v>진미죽８５Ｇ　　　　　　　　　</v>
          </cell>
          <cell r="C177">
            <v>37.5</v>
          </cell>
          <cell r="D177">
            <v>1298.8800000000001</v>
          </cell>
          <cell r="E177">
            <v>3.4636799999999996</v>
          </cell>
        </row>
        <row r="178">
          <cell r="A178">
            <v>4010201</v>
          </cell>
          <cell r="B178" t="str">
            <v xml:space="preserve">크 노 르  맛  죽              </v>
          </cell>
          <cell r="C178">
            <v>33.03</v>
          </cell>
          <cell r="D178">
            <v>2236.3200000000002</v>
          </cell>
          <cell r="E178">
            <v>6.7699199999999999</v>
          </cell>
        </row>
        <row r="179">
          <cell r="A179">
            <v>4010200</v>
          </cell>
          <cell r="B179" t="str">
            <v xml:space="preserve">맛          죽                </v>
          </cell>
          <cell r="C179">
            <v>33.03</v>
          </cell>
          <cell r="D179">
            <v>2236.3200000000002</v>
          </cell>
          <cell r="E179">
            <v>6.7699199999999999</v>
          </cell>
        </row>
        <row r="180">
          <cell r="A180">
            <v>503002</v>
          </cell>
          <cell r="B180" t="str">
            <v xml:space="preserve">양송이스프８０Ｇ              </v>
          </cell>
          <cell r="C180">
            <v>48.28</v>
          </cell>
          <cell r="D180">
            <v>1426.92</v>
          </cell>
          <cell r="E180">
            <v>2.9553600000000002</v>
          </cell>
        </row>
        <row r="181">
          <cell r="A181">
            <v>503007</v>
          </cell>
          <cell r="B181" t="str">
            <v>쇠고기스프８０Ｇ　　　　　　　</v>
          </cell>
          <cell r="C181">
            <v>46.37</v>
          </cell>
          <cell r="D181">
            <v>1807.92</v>
          </cell>
          <cell r="E181">
            <v>3.8985599999999998</v>
          </cell>
        </row>
        <row r="182">
          <cell r="A182">
            <v>503008</v>
          </cell>
          <cell r="B182" t="str">
            <v>옥수수스프８０Ｇ　　　　　　　</v>
          </cell>
          <cell r="C182">
            <v>50.38</v>
          </cell>
          <cell r="D182">
            <v>1066.56</v>
          </cell>
          <cell r="E182">
            <v>2.1169600000000002</v>
          </cell>
        </row>
        <row r="183">
          <cell r="A183">
            <v>503011</v>
          </cell>
          <cell r="B183" t="str">
            <v>쇠고기스프３００Ｇ　　　　　　</v>
          </cell>
          <cell r="C183">
            <v>33.700000000000003</v>
          </cell>
          <cell r="D183">
            <v>670.48</v>
          </cell>
          <cell r="E183">
            <v>1.9896800000000001</v>
          </cell>
        </row>
        <row r="184">
          <cell r="A184">
            <v>503017</v>
          </cell>
          <cell r="B184" t="str">
            <v>쇠고기스프１ＫＧ　　　　　　　</v>
          </cell>
          <cell r="C184">
            <v>9.41</v>
          </cell>
          <cell r="D184">
            <v>222.65</v>
          </cell>
          <cell r="E184">
            <v>2.3651999999999997</v>
          </cell>
        </row>
        <row r="185">
          <cell r="A185">
            <v>503060</v>
          </cell>
          <cell r="B185" t="str">
            <v>크림스프８０Ｇ　　　　　　　　</v>
          </cell>
          <cell r="C185">
            <v>50</v>
          </cell>
          <cell r="D185">
            <v>2819.12</v>
          </cell>
          <cell r="E185">
            <v>5.6382399999999997</v>
          </cell>
        </row>
        <row r="186">
          <cell r="A186">
            <v>503065</v>
          </cell>
          <cell r="B186" t="str">
            <v>야채스프８０Ｇ　　　　　　　　</v>
          </cell>
          <cell r="C186">
            <v>46.37</v>
          </cell>
          <cell r="D186">
            <v>1331.64</v>
          </cell>
          <cell r="E186">
            <v>2.8715199999999999</v>
          </cell>
        </row>
        <row r="187">
          <cell r="A187">
            <v>503101</v>
          </cell>
          <cell r="B187" t="str">
            <v xml:space="preserve">신크림스프１ＫＧ　　　　　    </v>
          </cell>
          <cell r="C187">
            <v>16.16</v>
          </cell>
          <cell r="D187">
            <v>599.83000000000004</v>
          </cell>
          <cell r="E187">
            <v>3.7106999999999997</v>
          </cell>
        </row>
        <row r="188">
          <cell r="A188">
            <v>4010301</v>
          </cell>
          <cell r="B188" t="str">
            <v xml:space="preserve">스　　　　　　프              </v>
          </cell>
          <cell r="C188">
            <v>38.93</v>
          </cell>
          <cell r="D188">
            <v>9945.1200000000008</v>
          </cell>
          <cell r="E188">
            <v>25.546220000000002</v>
          </cell>
        </row>
        <row r="189">
          <cell r="A189">
            <v>4010300</v>
          </cell>
          <cell r="B189" t="str">
            <v xml:space="preserve">스          프                </v>
          </cell>
          <cell r="C189">
            <v>38.93</v>
          </cell>
          <cell r="D189">
            <v>9945.1200000000008</v>
          </cell>
          <cell r="E189">
            <v>25.546220000000002</v>
          </cell>
        </row>
        <row r="190">
          <cell r="A190">
            <v>505012</v>
          </cell>
          <cell r="B190" t="str">
            <v xml:space="preserve">토마토케찹１ＫＧ　　　　　    </v>
          </cell>
          <cell r="C190">
            <v>18.36</v>
          </cell>
          <cell r="D190">
            <v>845.81</v>
          </cell>
          <cell r="E190">
            <v>4.6077599999999999</v>
          </cell>
        </row>
        <row r="191">
          <cell r="A191">
            <v>505019</v>
          </cell>
          <cell r="B191" t="str">
            <v xml:space="preserve">토마토케찹８００Ｇ　　　　    </v>
          </cell>
          <cell r="C191">
            <v>22.11</v>
          </cell>
          <cell r="D191">
            <v>1710.34</v>
          </cell>
          <cell r="E191">
            <v>7.7342399999999998</v>
          </cell>
        </row>
        <row r="192">
          <cell r="A192">
            <v>505042</v>
          </cell>
          <cell r="B192" t="str">
            <v xml:space="preserve">토마토케찹５００Ｇ　　　　    </v>
          </cell>
          <cell r="C192">
            <v>29.02</v>
          </cell>
          <cell r="D192">
            <v>1324.32</v>
          </cell>
          <cell r="E192">
            <v>4.5632000000000001</v>
          </cell>
        </row>
        <row r="193">
          <cell r="A193">
            <v>505044</v>
          </cell>
          <cell r="B193" t="str">
            <v xml:space="preserve">프리미엄케찹４００Ｇ          </v>
          </cell>
          <cell r="C193">
            <v>33.75</v>
          </cell>
          <cell r="D193">
            <v>1103.52</v>
          </cell>
          <cell r="E193">
            <v>3.26952</v>
          </cell>
        </row>
        <row r="194">
          <cell r="A194">
            <v>4010401</v>
          </cell>
          <cell r="B194" t="str">
            <v xml:space="preserve">케      찹 （가）             </v>
          </cell>
          <cell r="C194">
            <v>24.7</v>
          </cell>
          <cell r="D194">
            <v>4983.9799999999996</v>
          </cell>
          <cell r="E194">
            <v>20.174720000000001</v>
          </cell>
        </row>
        <row r="195">
          <cell r="A195">
            <v>505007</v>
          </cell>
          <cell r="B195" t="str">
            <v xml:space="preserve">토마토케찹３．３ＫＧ　　　　  </v>
          </cell>
          <cell r="C195">
            <v>-13.89</v>
          </cell>
          <cell r="D195">
            <v>-520.5</v>
          </cell>
          <cell r="E195">
            <v>3.7475999999999998</v>
          </cell>
        </row>
        <row r="196">
          <cell r="A196">
            <v>4010402</v>
          </cell>
          <cell r="B196" t="str">
            <v xml:space="preserve">케      찹 （업）             </v>
          </cell>
          <cell r="C196">
            <v>-13.89</v>
          </cell>
          <cell r="D196">
            <v>-520.5</v>
          </cell>
          <cell r="E196">
            <v>3.7475999999999998</v>
          </cell>
        </row>
        <row r="197">
          <cell r="A197">
            <v>4010400</v>
          </cell>
          <cell r="B197" t="str">
            <v xml:space="preserve">케          찹                </v>
          </cell>
          <cell r="C197">
            <v>18.66</v>
          </cell>
          <cell r="D197">
            <v>4463.4799999999996</v>
          </cell>
          <cell r="E197">
            <v>23.922319999999999</v>
          </cell>
        </row>
        <row r="198">
          <cell r="A198">
            <v>506003</v>
          </cell>
          <cell r="B198" t="str">
            <v xml:space="preserve">식물성마가린４００Ｇ          </v>
          </cell>
          <cell r="C198">
            <v>35.08</v>
          </cell>
          <cell r="D198">
            <v>1725.02</v>
          </cell>
          <cell r="E198">
            <v>4.9171899999999997</v>
          </cell>
        </row>
        <row r="199">
          <cell r="A199">
            <v>4010501</v>
          </cell>
          <cell r="B199" t="str">
            <v xml:space="preserve">식물성  마아가린              </v>
          </cell>
          <cell r="C199">
            <v>35.08</v>
          </cell>
          <cell r="D199">
            <v>1725.02</v>
          </cell>
          <cell r="E199">
            <v>4.9171899999999997</v>
          </cell>
        </row>
        <row r="200">
          <cell r="A200">
            <v>506018</v>
          </cell>
          <cell r="B200" t="str">
            <v xml:space="preserve">옥수수마가린４００Ｇ          </v>
          </cell>
          <cell r="C200">
            <v>32.71</v>
          </cell>
          <cell r="D200">
            <v>1889.72</v>
          </cell>
          <cell r="E200">
            <v>5.7765000000000004</v>
          </cell>
        </row>
        <row r="201">
          <cell r="A201">
            <v>4010502</v>
          </cell>
          <cell r="B201" t="str">
            <v xml:space="preserve">옥수수  마아가린              </v>
          </cell>
          <cell r="C201">
            <v>32.71</v>
          </cell>
          <cell r="D201">
            <v>1889.72</v>
          </cell>
          <cell r="E201">
            <v>5.7765000000000004</v>
          </cell>
        </row>
        <row r="202">
          <cell r="A202">
            <v>4010500</v>
          </cell>
          <cell r="B202" t="str">
            <v xml:space="preserve">마  아  가  린                </v>
          </cell>
          <cell r="C202">
            <v>33.799999999999997</v>
          </cell>
          <cell r="D202">
            <v>3614.74</v>
          </cell>
          <cell r="E202">
            <v>10.69369</v>
          </cell>
        </row>
        <row r="203">
          <cell r="A203">
            <v>507006</v>
          </cell>
          <cell r="B203" t="str">
            <v>천드레싱５１５Ｇ　　　　　　　</v>
          </cell>
          <cell r="C203">
            <v>19.350000000000001</v>
          </cell>
          <cell r="D203">
            <v>1250.93</v>
          </cell>
          <cell r="E203">
            <v>6.46488</v>
          </cell>
        </row>
        <row r="204">
          <cell r="A204">
            <v>4010601</v>
          </cell>
          <cell r="B204" t="str">
            <v xml:space="preserve">드  래  싱 （가）             </v>
          </cell>
          <cell r="C204">
            <v>19.350000000000001</v>
          </cell>
          <cell r="D204">
            <v>1250.93</v>
          </cell>
          <cell r="E204">
            <v>6.46488</v>
          </cell>
        </row>
        <row r="205">
          <cell r="A205">
            <v>4010600</v>
          </cell>
          <cell r="B205" t="str">
            <v xml:space="preserve">드    레    싱                </v>
          </cell>
          <cell r="C205">
            <v>19.350000000000001</v>
          </cell>
          <cell r="D205">
            <v>1250.93</v>
          </cell>
          <cell r="E205">
            <v>6.46488</v>
          </cell>
        </row>
        <row r="206">
          <cell r="A206">
            <v>509110</v>
          </cell>
          <cell r="B206" t="str">
            <v xml:space="preserve">본카레순한맛１００Ｇ          </v>
          </cell>
          <cell r="C206">
            <v>50.28</v>
          </cell>
          <cell r="D206">
            <v>626.08000000000004</v>
          </cell>
          <cell r="E206">
            <v>1.2452799999999999</v>
          </cell>
        </row>
        <row r="207">
          <cell r="A207">
            <v>509111</v>
          </cell>
          <cell r="B207" t="str">
            <v xml:space="preserve">본카레중간맛１００Ｇ          </v>
          </cell>
          <cell r="C207">
            <v>50.28</v>
          </cell>
          <cell r="D207">
            <v>655.20000000000005</v>
          </cell>
          <cell r="E207">
            <v>1.3032000000000001</v>
          </cell>
        </row>
        <row r="208">
          <cell r="A208">
            <v>509112</v>
          </cell>
          <cell r="B208" t="str">
            <v xml:space="preserve">본카레매운맛１００Ｇ          </v>
          </cell>
          <cell r="C208">
            <v>50.28</v>
          </cell>
          <cell r="D208">
            <v>698.88</v>
          </cell>
          <cell r="E208">
            <v>1.39008</v>
          </cell>
        </row>
        <row r="209">
          <cell r="A209">
            <v>509114</v>
          </cell>
          <cell r="B209" t="str">
            <v xml:space="preserve">본카레３００Ｇ／２＋１        </v>
          </cell>
          <cell r="C209">
            <v>21.13</v>
          </cell>
          <cell r="D209">
            <v>498</v>
          </cell>
          <cell r="E209">
            <v>2.3571999999999997</v>
          </cell>
        </row>
        <row r="210">
          <cell r="A210">
            <v>4010801</v>
          </cell>
          <cell r="B210" t="str">
            <v xml:space="preserve">카      레 （가）             </v>
          </cell>
          <cell r="C210">
            <v>39.36</v>
          </cell>
          <cell r="D210">
            <v>2478.16</v>
          </cell>
          <cell r="E210">
            <v>6.2957600000000005</v>
          </cell>
        </row>
        <row r="211">
          <cell r="A211">
            <v>401433</v>
          </cell>
          <cell r="B211" t="str">
            <v xml:space="preserve">청정원카레중간맛１ＫＧ        </v>
          </cell>
          <cell r="C211">
            <v>6.86</v>
          </cell>
          <cell r="D211">
            <v>211.95</v>
          </cell>
          <cell r="E211">
            <v>3.0914999999999999</v>
          </cell>
        </row>
        <row r="212">
          <cell r="A212">
            <v>4010802</v>
          </cell>
          <cell r="B212" t="str">
            <v xml:space="preserve">카      레 （업）             </v>
          </cell>
          <cell r="C212">
            <v>6.86</v>
          </cell>
          <cell r="D212">
            <v>211.95</v>
          </cell>
          <cell r="E212">
            <v>3.0914999999999999</v>
          </cell>
        </row>
        <row r="213">
          <cell r="A213">
            <v>4010800</v>
          </cell>
          <cell r="B213" t="str">
            <v xml:space="preserve">카          레                </v>
          </cell>
          <cell r="C213">
            <v>28.66</v>
          </cell>
          <cell r="D213">
            <v>2690.11</v>
          </cell>
          <cell r="E213">
            <v>9.3872599999999995</v>
          </cell>
        </row>
        <row r="214">
          <cell r="A214">
            <v>508624</v>
          </cell>
          <cell r="B214" t="str">
            <v>돈까스소스４００Ｇ　　　　　　</v>
          </cell>
          <cell r="C214">
            <v>-10.6</v>
          </cell>
          <cell r="D214">
            <v>-978.1</v>
          </cell>
          <cell r="E214">
            <v>9.2299199999999999</v>
          </cell>
        </row>
        <row r="215">
          <cell r="A215">
            <v>508630</v>
          </cell>
          <cell r="B215" t="str">
            <v>스테이크소스４００Ｇ　　　　　</v>
          </cell>
          <cell r="C215">
            <v>-11.94</v>
          </cell>
          <cell r="D215">
            <v>-376.32</v>
          </cell>
          <cell r="E215">
            <v>3.1516799999999998</v>
          </cell>
        </row>
        <row r="216">
          <cell r="A216">
            <v>4011701</v>
          </cell>
          <cell r="B216" t="str">
            <v xml:space="preserve">쏘     오     스              </v>
          </cell>
          <cell r="C216">
            <v>-10.94</v>
          </cell>
          <cell r="D216">
            <v>-1354.42</v>
          </cell>
          <cell r="E216">
            <v>12.381600000000001</v>
          </cell>
        </row>
        <row r="217">
          <cell r="A217">
            <v>4011700</v>
          </cell>
          <cell r="B217" t="str">
            <v xml:space="preserve">쏘          스                </v>
          </cell>
          <cell r="C217">
            <v>-10.94</v>
          </cell>
          <cell r="D217">
            <v>-1354.42</v>
          </cell>
          <cell r="E217">
            <v>12.381600000000001</v>
          </cell>
        </row>
        <row r="218">
          <cell r="A218">
            <v>508641</v>
          </cell>
          <cell r="B218" t="str">
            <v xml:space="preserve">보크라이스쇠고기２４Ｇ        </v>
          </cell>
          <cell r="C218">
            <v>36.53</v>
          </cell>
          <cell r="D218">
            <v>1567.48</v>
          </cell>
          <cell r="E218">
            <v>4.2911999999999999</v>
          </cell>
        </row>
        <row r="219">
          <cell r="A219">
            <v>508642</v>
          </cell>
          <cell r="B219" t="str">
            <v xml:space="preserve">보크라이스새우２４Ｇ          </v>
          </cell>
          <cell r="C219">
            <v>36.53</v>
          </cell>
          <cell r="D219">
            <v>1315</v>
          </cell>
          <cell r="E219">
            <v>3.6</v>
          </cell>
        </row>
        <row r="220">
          <cell r="A220">
            <v>508643</v>
          </cell>
          <cell r="B220" t="str">
            <v xml:space="preserve">보크라이스야채２４Ｇ          </v>
          </cell>
          <cell r="C220">
            <v>38.89</v>
          </cell>
          <cell r="D220">
            <v>1052.8</v>
          </cell>
          <cell r="E220">
            <v>2.7071999999999998</v>
          </cell>
        </row>
        <row r="221">
          <cell r="A221">
            <v>4012501</v>
          </cell>
          <cell r="B221" t="str">
            <v xml:space="preserve">보  크  라 이 스              </v>
          </cell>
          <cell r="C221">
            <v>37.130000000000003</v>
          </cell>
          <cell r="D221">
            <v>3935.28</v>
          </cell>
          <cell r="E221">
            <v>10.5984</v>
          </cell>
        </row>
        <row r="222">
          <cell r="A222">
            <v>4012500</v>
          </cell>
          <cell r="B222" t="str">
            <v xml:space="preserve">라이스  메이트                </v>
          </cell>
          <cell r="C222">
            <v>37.130000000000003</v>
          </cell>
          <cell r="D222">
            <v>3935.28</v>
          </cell>
          <cell r="E222">
            <v>10.5984</v>
          </cell>
        </row>
        <row r="223">
          <cell r="A223">
            <v>4010000</v>
          </cell>
          <cell r="B223" t="str">
            <v xml:space="preserve">서 구 식 품 류                </v>
          </cell>
          <cell r="C223">
            <v>27.06</v>
          </cell>
          <cell r="D223">
            <v>37835.339999999997</v>
          </cell>
          <cell r="E223">
            <v>139.81835999999998</v>
          </cell>
        </row>
        <row r="224">
          <cell r="A224">
            <v>107016</v>
          </cell>
          <cell r="B224" t="str">
            <v>멸치액젓골드１ＫＧ　　　　　　</v>
          </cell>
          <cell r="C224">
            <v>49.67</v>
          </cell>
          <cell r="D224">
            <v>3954.36</v>
          </cell>
          <cell r="E224">
            <v>7.9607999999999999</v>
          </cell>
        </row>
        <row r="225">
          <cell r="A225">
            <v>4040301</v>
          </cell>
          <cell r="B225" t="str">
            <v xml:space="preserve">멸 치 액 젓 골드              </v>
          </cell>
          <cell r="C225">
            <v>49.67</v>
          </cell>
          <cell r="D225">
            <v>3954.36</v>
          </cell>
          <cell r="E225">
            <v>7.9607999999999999</v>
          </cell>
        </row>
        <row r="226">
          <cell r="A226">
            <v>200004</v>
          </cell>
          <cell r="B226" t="str">
            <v xml:space="preserve">액체육젓５００Ｇ　　　　      </v>
          </cell>
          <cell r="C226">
            <v>43.79</v>
          </cell>
          <cell r="D226">
            <v>1231.3900000000001</v>
          </cell>
          <cell r="E226">
            <v>2.8118400000000001</v>
          </cell>
        </row>
        <row r="227">
          <cell r="A227">
            <v>200005</v>
          </cell>
          <cell r="B227" t="str">
            <v xml:space="preserve">액체육젓１ＫＧ　　　　　      </v>
          </cell>
          <cell r="C227">
            <v>44.13</v>
          </cell>
          <cell r="D227">
            <v>1003.92</v>
          </cell>
          <cell r="E227">
            <v>2.2748400000000002</v>
          </cell>
        </row>
        <row r="228">
          <cell r="A228">
            <v>4040307</v>
          </cell>
          <cell r="B228" t="str">
            <v xml:space="preserve">액   체  육   젓              </v>
          </cell>
          <cell r="C228">
            <v>43.94</v>
          </cell>
          <cell r="D228">
            <v>2235.31</v>
          </cell>
          <cell r="E228">
            <v>5.0866800000000003</v>
          </cell>
        </row>
        <row r="229">
          <cell r="A229">
            <v>200103</v>
          </cell>
          <cell r="B229" t="str">
            <v>멸치액젓１ＫＧ　　　　　　　　</v>
          </cell>
          <cell r="C229">
            <v>42.96</v>
          </cell>
          <cell r="D229">
            <v>2048.62</v>
          </cell>
          <cell r="E229">
            <v>4.7685600000000008</v>
          </cell>
        </row>
        <row r="230">
          <cell r="A230">
            <v>200104</v>
          </cell>
          <cell r="B230" t="str">
            <v>멸치액젓３ＫＧ　　　　　　　　</v>
          </cell>
          <cell r="C230">
            <v>40.44</v>
          </cell>
          <cell r="D230">
            <v>9580.7800000000007</v>
          </cell>
          <cell r="E230">
            <v>23.692799999999998</v>
          </cell>
        </row>
        <row r="231">
          <cell r="A231">
            <v>4040309</v>
          </cell>
          <cell r="B231" t="str">
            <v xml:space="preserve">멸   치  액   젓              </v>
          </cell>
          <cell r="C231">
            <v>40.86</v>
          </cell>
          <cell r="D231">
            <v>11629.39</v>
          </cell>
          <cell r="E231">
            <v>28.461359999999999</v>
          </cell>
        </row>
        <row r="232">
          <cell r="A232">
            <v>200202</v>
          </cell>
          <cell r="B232" t="str">
            <v>까나리액젓５００Ｇ　　　　　　</v>
          </cell>
          <cell r="C232">
            <v>46.95</v>
          </cell>
          <cell r="D232">
            <v>3173.4</v>
          </cell>
          <cell r="E232">
            <v>6.7596000000000007</v>
          </cell>
        </row>
        <row r="233">
          <cell r="A233">
            <v>200203</v>
          </cell>
          <cell r="B233" t="str">
            <v>까나리액젓１ＫＧ　　　　　　　</v>
          </cell>
          <cell r="C233">
            <v>48.23</v>
          </cell>
          <cell r="D233">
            <v>7791.46</v>
          </cell>
          <cell r="E233">
            <v>16.154640000000001</v>
          </cell>
        </row>
        <row r="234">
          <cell r="A234">
            <v>200204</v>
          </cell>
          <cell r="B234" t="str">
            <v>까나리액젓３ＫＧ　　　　　　　</v>
          </cell>
          <cell r="C234">
            <v>37.17</v>
          </cell>
          <cell r="D234">
            <v>27530.880000000001</v>
          </cell>
          <cell r="E234">
            <v>74.076089999999994</v>
          </cell>
        </row>
        <row r="235">
          <cell r="A235">
            <v>4040311</v>
          </cell>
          <cell r="B235" t="str">
            <v xml:space="preserve">까  나  리 액 젓              </v>
          </cell>
          <cell r="C235">
            <v>39.69</v>
          </cell>
          <cell r="D235">
            <v>38495.730000000003</v>
          </cell>
          <cell r="E235">
            <v>96.99033</v>
          </cell>
        </row>
        <row r="236">
          <cell r="A236">
            <v>4040300</v>
          </cell>
          <cell r="B236" t="str">
            <v xml:space="preserve">액          젓                </v>
          </cell>
          <cell r="C236">
            <v>40.659999999999997</v>
          </cell>
          <cell r="D236">
            <v>56314.8</v>
          </cell>
          <cell r="E236">
            <v>138.49917000000002</v>
          </cell>
        </row>
        <row r="237">
          <cell r="A237">
            <v>105303</v>
          </cell>
          <cell r="B237" t="str">
            <v xml:space="preserve">겨자분２２０Ｇ                </v>
          </cell>
          <cell r="C237">
            <v>25.2</v>
          </cell>
          <cell r="D237">
            <v>95.26</v>
          </cell>
          <cell r="E237">
            <v>0.378</v>
          </cell>
        </row>
        <row r="238">
          <cell r="A238">
            <v>4044001</v>
          </cell>
          <cell r="B238" t="str">
            <v xml:space="preserve">겨     자     분              </v>
          </cell>
          <cell r="C238">
            <v>25.2</v>
          </cell>
          <cell r="D238">
            <v>95.26</v>
          </cell>
          <cell r="E238">
            <v>0.378</v>
          </cell>
        </row>
        <row r="239">
          <cell r="A239">
            <v>105313</v>
          </cell>
          <cell r="B239" t="str">
            <v xml:space="preserve">연겨자１１０Ｇ                </v>
          </cell>
          <cell r="C239">
            <v>51.76</v>
          </cell>
          <cell r="D239">
            <v>1525.87</v>
          </cell>
          <cell r="E239">
            <v>2.9481599999999997</v>
          </cell>
        </row>
        <row r="240">
          <cell r="A240">
            <v>4044003</v>
          </cell>
          <cell r="B240" t="str">
            <v xml:space="preserve">연     겨     자              </v>
          </cell>
          <cell r="C240">
            <v>51.76</v>
          </cell>
          <cell r="D240">
            <v>1525.87</v>
          </cell>
          <cell r="E240">
            <v>2.9481599999999997</v>
          </cell>
        </row>
        <row r="241">
          <cell r="A241">
            <v>4044000</v>
          </cell>
          <cell r="B241" t="str">
            <v xml:space="preserve">겨          자                </v>
          </cell>
          <cell r="C241">
            <v>48.74</v>
          </cell>
          <cell r="D241">
            <v>1621.13</v>
          </cell>
          <cell r="E241">
            <v>3.3261599999999998</v>
          </cell>
        </row>
        <row r="242">
          <cell r="A242">
            <v>105323</v>
          </cell>
          <cell r="B242" t="str">
            <v xml:space="preserve">와사비분２２０Ｇ              </v>
          </cell>
          <cell r="C242">
            <v>25.9</v>
          </cell>
          <cell r="D242">
            <v>218.16</v>
          </cell>
          <cell r="E242">
            <v>0.84239999999999993</v>
          </cell>
        </row>
        <row r="243">
          <cell r="A243">
            <v>4045001</v>
          </cell>
          <cell r="B243" t="str">
            <v xml:space="preserve">와   사  비   분              </v>
          </cell>
          <cell r="C243">
            <v>25.9</v>
          </cell>
          <cell r="D243">
            <v>218.16</v>
          </cell>
          <cell r="E243">
            <v>0.84239999999999993</v>
          </cell>
        </row>
        <row r="244">
          <cell r="A244">
            <v>105333</v>
          </cell>
          <cell r="B244" t="str">
            <v xml:space="preserve">연와사비１１０Ｇ              </v>
          </cell>
          <cell r="C244">
            <v>47.16</v>
          </cell>
          <cell r="D244">
            <v>2680.32</v>
          </cell>
          <cell r="E244">
            <v>5.6832000000000003</v>
          </cell>
        </row>
        <row r="245">
          <cell r="A245">
            <v>4045003</v>
          </cell>
          <cell r="B245" t="str">
            <v xml:space="preserve">연   와  사   비              </v>
          </cell>
          <cell r="C245">
            <v>47.16</v>
          </cell>
          <cell r="D245">
            <v>2680.32</v>
          </cell>
          <cell r="E245">
            <v>5.6832000000000003</v>
          </cell>
        </row>
        <row r="246">
          <cell r="A246">
            <v>4045000</v>
          </cell>
          <cell r="B246" t="str">
            <v xml:space="preserve">와    사    비                </v>
          </cell>
          <cell r="C246">
            <v>44.42</v>
          </cell>
          <cell r="D246">
            <v>2898.48</v>
          </cell>
          <cell r="E246">
            <v>6.5256000000000007</v>
          </cell>
        </row>
        <row r="247">
          <cell r="A247">
            <v>4040000</v>
          </cell>
          <cell r="B247" t="str">
            <v xml:space="preserve">농  수  산  류                </v>
          </cell>
          <cell r="C247">
            <v>41.01</v>
          </cell>
          <cell r="D247">
            <v>60834.400000000001</v>
          </cell>
          <cell r="E247">
            <v>148.35093000000001</v>
          </cell>
        </row>
        <row r="248">
          <cell r="A248">
            <v>101007</v>
          </cell>
          <cell r="B248" t="str">
            <v>불고기양념９６０Ｇ　　　　　　</v>
          </cell>
          <cell r="C248">
            <v>43.91</v>
          </cell>
          <cell r="D248">
            <v>438.91</v>
          </cell>
          <cell r="E248">
            <v>0.99954999999999994</v>
          </cell>
        </row>
        <row r="249">
          <cell r="A249">
            <v>103704</v>
          </cell>
          <cell r="B249" t="str">
            <v>불고기양념２５０Ｇ　　　　　　</v>
          </cell>
          <cell r="C249">
            <v>43.41</v>
          </cell>
          <cell r="D249">
            <v>833.94</v>
          </cell>
          <cell r="E249">
            <v>1.921</v>
          </cell>
        </row>
        <row r="250">
          <cell r="A250">
            <v>103705</v>
          </cell>
          <cell r="B250" t="str">
            <v>불고기양념５００Ｇ　　　　　　</v>
          </cell>
          <cell r="C250">
            <v>36.07</v>
          </cell>
          <cell r="D250">
            <v>1030.01</v>
          </cell>
          <cell r="E250">
            <v>2.8552499999999998</v>
          </cell>
        </row>
        <row r="251">
          <cell r="A251">
            <v>4060101</v>
          </cell>
          <cell r="B251" t="str">
            <v xml:space="preserve">불  고  기 양 념              </v>
          </cell>
          <cell r="C251">
            <v>39.869999999999997</v>
          </cell>
          <cell r="D251">
            <v>2302.86</v>
          </cell>
          <cell r="E251">
            <v>5.7758000000000003</v>
          </cell>
        </row>
        <row r="252">
          <cell r="A252">
            <v>103111</v>
          </cell>
          <cell r="B252" t="str">
            <v>갈비양념２４０Ｇ　　　　　　　</v>
          </cell>
          <cell r="C252">
            <v>42.24</v>
          </cell>
          <cell r="D252">
            <v>911.86</v>
          </cell>
          <cell r="E252">
            <v>2.1589999999999998</v>
          </cell>
        </row>
        <row r="253">
          <cell r="A253">
            <v>103114</v>
          </cell>
          <cell r="B253" t="str">
            <v>갈비양념９６０Ｇ　　　　　　　</v>
          </cell>
          <cell r="C253">
            <v>39.68</v>
          </cell>
          <cell r="D253">
            <v>1140.43</v>
          </cell>
          <cell r="E253">
            <v>2.87371</v>
          </cell>
        </row>
        <row r="254">
          <cell r="A254">
            <v>103115</v>
          </cell>
          <cell r="B254" t="str">
            <v xml:space="preserve">갈비양념４８０Ｇ　　　        </v>
          </cell>
          <cell r="C254">
            <v>35.409999999999997</v>
          </cell>
          <cell r="D254">
            <v>1441.17</v>
          </cell>
          <cell r="E254">
            <v>4.0702499999999997</v>
          </cell>
        </row>
        <row r="255">
          <cell r="A255">
            <v>103117</v>
          </cell>
          <cell r="B255" t="str">
            <v xml:space="preserve">숯불갈비양념４８０Ｇ          </v>
          </cell>
          <cell r="C255">
            <v>35</v>
          </cell>
          <cell r="D255">
            <v>323.39999999999998</v>
          </cell>
          <cell r="E255">
            <v>0.92400000000000004</v>
          </cell>
        </row>
        <row r="256">
          <cell r="A256">
            <v>4060105</v>
          </cell>
          <cell r="B256" t="str">
            <v xml:space="preserve">갈      비 양 념              </v>
          </cell>
          <cell r="C256">
            <v>38.07</v>
          </cell>
          <cell r="D256">
            <v>3816.86</v>
          </cell>
          <cell r="E256">
            <v>10.026959999999999</v>
          </cell>
        </row>
        <row r="257">
          <cell r="A257">
            <v>103122</v>
          </cell>
          <cell r="B257" t="str">
            <v>돼지갈비양념４８０Ｇ　　　　　</v>
          </cell>
          <cell r="C257">
            <v>35.409999999999997</v>
          </cell>
          <cell r="D257">
            <v>1333.62</v>
          </cell>
          <cell r="E257">
            <v>3.7665000000000002</v>
          </cell>
        </row>
        <row r="258">
          <cell r="A258">
            <v>4060113</v>
          </cell>
          <cell r="B258" t="str">
            <v xml:space="preserve">돼 지 갈 비 양념              </v>
          </cell>
          <cell r="C258">
            <v>35.409999999999997</v>
          </cell>
          <cell r="D258">
            <v>1333.62</v>
          </cell>
          <cell r="E258">
            <v>3.7665000000000002</v>
          </cell>
        </row>
        <row r="259">
          <cell r="A259">
            <v>4060100</v>
          </cell>
          <cell r="B259" t="str">
            <v xml:space="preserve">양    념    장                </v>
          </cell>
          <cell r="C259">
            <v>38.090000000000003</v>
          </cell>
          <cell r="D259">
            <v>7453.34</v>
          </cell>
          <cell r="E259">
            <v>19.56926</v>
          </cell>
        </row>
        <row r="260">
          <cell r="A260">
            <v>103601</v>
          </cell>
          <cell r="B260" t="str">
            <v xml:space="preserve">소불고기양념３００Ｇ          </v>
          </cell>
          <cell r="C260">
            <v>42.45</v>
          </cell>
          <cell r="D260">
            <v>159.30000000000001</v>
          </cell>
          <cell r="E260">
            <v>0.37530000000000002</v>
          </cell>
        </row>
        <row r="261">
          <cell r="A261">
            <v>4060201</v>
          </cell>
          <cell r="B261" t="str">
            <v xml:space="preserve">불 고 기 양 념                </v>
          </cell>
          <cell r="C261">
            <v>42.45</v>
          </cell>
          <cell r="D261">
            <v>159.30000000000001</v>
          </cell>
          <cell r="E261">
            <v>0.37530000000000002</v>
          </cell>
        </row>
        <row r="262">
          <cell r="A262">
            <v>103621</v>
          </cell>
          <cell r="B262" t="str">
            <v xml:space="preserve">소갈비양념３００Ｇ            </v>
          </cell>
          <cell r="C262">
            <v>42.45</v>
          </cell>
          <cell r="D262">
            <v>84.96</v>
          </cell>
          <cell r="E262">
            <v>0.20016</v>
          </cell>
        </row>
        <row r="263">
          <cell r="A263">
            <v>103622</v>
          </cell>
          <cell r="B263" t="str">
            <v xml:space="preserve">소갈비양념３００Ｇ／미정      </v>
          </cell>
          <cell r="C263">
            <v>6.47</v>
          </cell>
          <cell r="D263">
            <v>64.8</v>
          </cell>
          <cell r="E263">
            <v>1.0007999999999999</v>
          </cell>
        </row>
        <row r="264">
          <cell r="A264">
            <v>4060203</v>
          </cell>
          <cell r="B264" t="str">
            <v xml:space="preserve">갈  비  양  념                </v>
          </cell>
          <cell r="C264">
            <v>12.47</v>
          </cell>
          <cell r="D264">
            <v>149.76</v>
          </cell>
          <cell r="E264">
            <v>1.20096</v>
          </cell>
        </row>
        <row r="265">
          <cell r="A265">
            <v>4060200</v>
          </cell>
          <cell r="B265" t="str">
            <v xml:space="preserve">프리미엄양념장                </v>
          </cell>
          <cell r="C265">
            <v>19.61</v>
          </cell>
          <cell r="D265">
            <v>309.06</v>
          </cell>
          <cell r="E265">
            <v>1.57626</v>
          </cell>
        </row>
        <row r="266">
          <cell r="A266">
            <v>103503</v>
          </cell>
          <cell r="B266" t="str">
            <v>미정１．８Ｌ　　　　　　　　　</v>
          </cell>
          <cell r="C266">
            <v>-7.54</v>
          </cell>
          <cell r="D266">
            <v>-136.68</v>
          </cell>
          <cell r="E266">
            <v>1.81254</v>
          </cell>
        </row>
        <row r="267">
          <cell r="A267">
            <v>103506</v>
          </cell>
          <cell r="B267" t="str">
            <v>미정４１０ＭＬ　　　　　　　　</v>
          </cell>
          <cell r="C267">
            <v>17.14</v>
          </cell>
          <cell r="D267">
            <v>425.45</v>
          </cell>
          <cell r="E267">
            <v>2.4817800000000001</v>
          </cell>
        </row>
        <row r="268">
          <cell r="A268">
            <v>4060301</v>
          </cell>
          <cell r="B268" t="str">
            <v xml:space="preserve">미            정              </v>
          </cell>
          <cell r="C268">
            <v>6.72</v>
          </cell>
          <cell r="D268">
            <v>288.77</v>
          </cell>
          <cell r="E268">
            <v>4.2943199999999999</v>
          </cell>
        </row>
        <row r="269">
          <cell r="A269">
            <v>4060300</v>
          </cell>
          <cell r="B269" t="str">
            <v xml:space="preserve">맛　        술                </v>
          </cell>
          <cell r="C269">
            <v>6.72</v>
          </cell>
          <cell r="D269">
            <v>288.77</v>
          </cell>
          <cell r="E269">
            <v>4.2943199999999999</v>
          </cell>
        </row>
        <row r="270">
          <cell r="A270">
            <v>4060000</v>
          </cell>
          <cell r="B270" t="str">
            <v xml:space="preserve">액 체 양 념 류                </v>
          </cell>
          <cell r="C270">
            <v>31.65</v>
          </cell>
          <cell r="D270">
            <v>8051.17</v>
          </cell>
          <cell r="E270">
            <v>25.43984</v>
          </cell>
        </row>
        <row r="271">
          <cell r="A271">
            <v>718208</v>
          </cell>
          <cell r="B271" t="str">
            <v xml:space="preserve">Ｐ３하이포크팜２００Ｇ        </v>
          </cell>
          <cell r="C271">
            <v>37.909999999999997</v>
          </cell>
          <cell r="D271">
            <v>2660.16</v>
          </cell>
          <cell r="E271">
            <v>7.0176000000000007</v>
          </cell>
        </row>
        <row r="272">
          <cell r="A272">
            <v>718209</v>
          </cell>
          <cell r="B272" t="str">
            <v xml:space="preserve">Ｐ３하이포크팜３４０Ｇ        </v>
          </cell>
          <cell r="C272">
            <v>38.479999999999997</v>
          </cell>
          <cell r="D272">
            <v>1188.1600000000001</v>
          </cell>
          <cell r="E272">
            <v>3.0880799999999997</v>
          </cell>
        </row>
        <row r="273">
          <cell r="A273">
            <v>718213</v>
          </cell>
          <cell r="B273" t="str">
            <v xml:space="preserve">Ｐ２하이팜３４０Ｇ／이        </v>
          </cell>
          <cell r="C273">
            <v>33.950000000000003</v>
          </cell>
          <cell r="D273">
            <v>70.08</v>
          </cell>
          <cell r="E273">
            <v>0.2064</v>
          </cell>
        </row>
        <row r="274">
          <cell r="A274">
            <v>718216</v>
          </cell>
          <cell r="B274" t="str">
            <v>Ｐ２하이팜３４０Ｇ＋런천３４０</v>
          </cell>
          <cell r="C274">
            <v>18.73</v>
          </cell>
          <cell r="D274">
            <v>150.4</v>
          </cell>
          <cell r="E274">
            <v>0.80320000000000003</v>
          </cell>
        </row>
        <row r="275">
          <cell r="A275">
            <v>4080101</v>
          </cell>
          <cell r="C275">
            <v>36.61</v>
          </cell>
          <cell r="D275">
            <v>4068.8</v>
          </cell>
          <cell r="E275">
            <v>11.11528</v>
          </cell>
        </row>
        <row r="276">
          <cell r="A276">
            <v>4080100</v>
          </cell>
          <cell r="C276">
            <v>36.61</v>
          </cell>
          <cell r="D276">
            <v>4068.8</v>
          </cell>
          <cell r="E276">
            <v>11.11528</v>
          </cell>
        </row>
        <row r="277">
          <cell r="A277">
            <v>4080000</v>
          </cell>
          <cell r="C277">
            <v>36.61</v>
          </cell>
          <cell r="D277">
            <v>4068.8</v>
          </cell>
          <cell r="E277">
            <v>11.11528</v>
          </cell>
        </row>
        <row r="278">
          <cell r="A278">
            <v>750401</v>
          </cell>
          <cell r="B278" t="str">
            <v xml:space="preserve">로즈버드믹스２４０Ｇ          </v>
          </cell>
          <cell r="C278">
            <v>23.57</v>
          </cell>
          <cell r="D278">
            <v>29.06</v>
          </cell>
          <cell r="E278">
            <v>0.12331</v>
          </cell>
        </row>
        <row r="279">
          <cell r="A279">
            <v>752017</v>
          </cell>
          <cell r="B279" t="str">
            <v xml:space="preserve">헤즐럿향믹스２４０Ｇ          </v>
          </cell>
          <cell r="C279">
            <v>57.07</v>
          </cell>
          <cell r="D279">
            <v>184.9</v>
          </cell>
          <cell r="E279">
            <v>0.32400000000000001</v>
          </cell>
        </row>
        <row r="280">
          <cell r="A280">
            <v>4091101</v>
          </cell>
          <cell r="B280" t="str">
            <v xml:space="preserve">Ｓ ／ Ｄ 믹   스              </v>
          </cell>
          <cell r="C280">
            <v>47.83</v>
          </cell>
          <cell r="D280">
            <v>213.96</v>
          </cell>
          <cell r="E280">
            <v>0.44730999999999999</v>
          </cell>
        </row>
        <row r="281">
          <cell r="A281">
            <v>4091100</v>
          </cell>
          <cell r="B281" t="str">
            <v xml:space="preserve">커  피  믹  스                </v>
          </cell>
          <cell r="C281">
            <v>47.83</v>
          </cell>
          <cell r="D281">
            <v>213.96</v>
          </cell>
          <cell r="E281">
            <v>0.44730999999999999</v>
          </cell>
        </row>
        <row r="282">
          <cell r="A282">
            <v>4090000</v>
          </cell>
          <cell r="B282" t="str">
            <v xml:space="preserve">커    피    류                </v>
          </cell>
          <cell r="C282">
            <v>47.83</v>
          </cell>
          <cell r="D282">
            <v>213.96</v>
          </cell>
          <cell r="E282">
            <v>0.44730999999999999</v>
          </cell>
        </row>
        <row r="283">
          <cell r="A283">
            <v>780102</v>
          </cell>
          <cell r="B283" t="str">
            <v>튀김가루１ＫＧ　　　　　　　　</v>
          </cell>
          <cell r="C283">
            <v>17.12</v>
          </cell>
          <cell r="D283">
            <v>666.25</v>
          </cell>
          <cell r="E283">
            <v>3.8909000000000002</v>
          </cell>
        </row>
        <row r="284">
          <cell r="A284">
            <v>4120101</v>
          </cell>
          <cell r="B284" t="str">
            <v xml:space="preserve">튀   김  가   루              </v>
          </cell>
          <cell r="C284">
            <v>17.12</v>
          </cell>
          <cell r="D284">
            <v>666.25</v>
          </cell>
          <cell r="E284">
            <v>3.8909000000000002</v>
          </cell>
        </row>
        <row r="285">
          <cell r="A285">
            <v>780132</v>
          </cell>
          <cell r="B285" t="str">
            <v>부침가루１ＫＧ　　　　　　　　</v>
          </cell>
          <cell r="C285">
            <v>17.12</v>
          </cell>
          <cell r="D285">
            <v>1455</v>
          </cell>
          <cell r="E285">
            <v>8.4972000000000012</v>
          </cell>
        </row>
        <row r="286">
          <cell r="A286">
            <v>4120103</v>
          </cell>
          <cell r="B286" t="str">
            <v xml:space="preserve">부   침  가   루              </v>
          </cell>
          <cell r="C286">
            <v>17.12</v>
          </cell>
          <cell r="D286">
            <v>1455</v>
          </cell>
          <cell r="E286">
            <v>8.4972000000000012</v>
          </cell>
        </row>
        <row r="287">
          <cell r="A287">
            <v>780151</v>
          </cell>
          <cell r="B287" t="str">
            <v>핫케익가루５００Ｇ　　　　　　</v>
          </cell>
          <cell r="C287">
            <v>30.77</v>
          </cell>
          <cell r="D287">
            <v>729.6</v>
          </cell>
          <cell r="E287">
            <v>2.3712</v>
          </cell>
        </row>
        <row r="288">
          <cell r="A288">
            <v>4120105</v>
          </cell>
          <cell r="B288" t="str">
            <v xml:space="preserve">핫  케  익 가 루              </v>
          </cell>
          <cell r="C288">
            <v>30.77</v>
          </cell>
          <cell r="D288">
            <v>729.6</v>
          </cell>
          <cell r="E288">
            <v>2.3712</v>
          </cell>
        </row>
        <row r="289">
          <cell r="A289">
            <v>780171</v>
          </cell>
          <cell r="B289" t="str">
            <v>도너츠가루５００Ｇ　　　　　　</v>
          </cell>
          <cell r="C289">
            <v>30.77</v>
          </cell>
          <cell r="D289">
            <v>201.6</v>
          </cell>
          <cell r="E289">
            <v>0.6552</v>
          </cell>
        </row>
        <row r="290">
          <cell r="A290">
            <v>4120107</v>
          </cell>
          <cell r="B290" t="str">
            <v xml:space="preserve">도  너  츠 가 루              </v>
          </cell>
          <cell r="C290">
            <v>30.77</v>
          </cell>
          <cell r="D290">
            <v>201.6</v>
          </cell>
          <cell r="E290">
            <v>0.6552</v>
          </cell>
        </row>
        <row r="291">
          <cell r="A291">
            <v>4120100</v>
          </cell>
          <cell r="B291" t="str">
            <v xml:space="preserve">프  리  믹  스                </v>
          </cell>
          <cell r="C291">
            <v>19.8</v>
          </cell>
          <cell r="D291">
            <v>3052.45</v>
          </cell>
          <cell r="E291">
            <v>15.4145</v>
          </cell>
        </row>
        <row r="292">
          <cell r="A292">
            <v>4120000</v>
          </cell>
          <cell r="B292" t="str">
            <v xml:space="preserve">프 리 믹 스 류                </v>
          </cell>
          <cell r="C292">
            <v>19.8</v>
          </cell>
          <cell r="D292">
            <v>3052.45</v>
          </cell>
          <cell r="E292">
            <v>15.4145</v>
          </cell>
        </row>
        <row r="293">
          <cell r="A293">
            <v>723014</v>
          </cell>
          <cell r="B293" t="str">
            <v xml:space="preserve">옥수수식용유０．９Ｌ          </v>
          </cell>
          <cell r="C293">
            <v>22.93</v>
          </cell>
          <cell r="D293">
            <v>552.12</v>
          </cell>
          <cell r="E293">
            <v>2.4079999999999999</v>
          </cell>
        </row>
        <row r="294">
          <cell r="A294">
            <v>723015</v>
          </cell>
          <cell r="B294" t="str">
            <v xml:space="preserve">옥수수식용유１．８Ｌ          </v>
          </cell>
          <cell r="C294">
            <v>12.18</v>
          </cell>
          <cell r="D294">
            <v>459.89</v>
          </cell>
          <cell r="E294">
            <v>3.7751999999999999</v>
          </cell>
        </row>
        <row r="295">
          <cell r="A295">
            <v>4130102</v>
          </cell>
          <cell r="B295" t="str">
            <v xml:space="preserve">옥     배     유              </v>
          </cell>
          <cell r="C295">
            <v>16.37</v>
          </cell>
          <cell r="D295">
            <v>1012.01</v>
          </cell>
          <cell r="E295">
            <v>6.1832000000000003</v>
          </cell>
        </row>
        <row r="296">
          <cell r="A296">
            <v>723031</v>
          </cell>
          <cell r="B296" t="str">
            <v xml:space="preserve">콩식용유０．９Ｌ              </v>
          </cell>
          <cell r="C296">
            <v>21.74</v>
          </cell>
          <cell r="D296">
            <v>367.36</v>
          </cell>
          <cell r="E296">
            <v>1.6896</v>
          </cell>
        </row>
        <row r="297">
          <cell r="A297">
            <v>723032</v>
          </cell>
          <cell r="B297" t="str">
            <v xml:space="preserve">콩식용유１．８Ｌ              </v>
          </cell>
          <cell r="C297">
            <v>10.78</v>
          </cell>
          <cell r="D297">
            <v>383.62</v>
          </cell>
          <cell r="E297">
            <v>3.5596799999999997</v>
          </cell>
        </row>
        <row r="298">
          <cell r="A298">
            <v>4130105</v>
          </cell>
          <cell r="B298" t="str">
            <v xml:space="preserve">대     두     유              </v>
          </cell>
          <cell r="C298">
            <v>14.31</v>
          </cell>
          <cell r="D298">
            <v>750.98</v>
          </cell>
          <cell r="E298">
            <v>5.2492799999999997</v>
          </cell>
        </row>
        <row r="299">
          <cell r="A299">
            <v>4130100</v>
          </cell>
          <cell r="B299" t="str">
            <v xml:space="preserve">식    용    유                </v>
          </cell>
          <cell r="C299">
            <v>15.42</v>
          </cell>
          <cell r="D299">
            <v>1762.98</v>
          </cell>
          <cell r="E299">
            <v>11.43248</v>
          </cell>
        </row>
        <row r="300">
          <cell r="A300">
            <v>4130000</v>
          </cell>
          <cell r="B300" t="str">
            <v xml:space="preserve">기 타 매 입 류                </v>
          </cell>
          <cell r="C300">
            <v>15.42</v>
          </cell>
          <cell r="D300">
            <v>1762.98</v>
          </cell>
          <cell r="E300">
            <v>11.43248</v>
          </cell>
        </row>
        <row r="301">
          <cell r="A301">
            <v>509965</v>
          </cell>
          <cell r="B301" t="str">
            <v>간짜장１７０Ｇ　　　　　　　　</v>
          </cell>
          <cell r="C301">
            <v>36.33</v>
          </cell>
          <cell r="D301">
            <v>1620.43</v>
          </cell>
          <cell r="E301">
            <v>4.46028</v>
          </cell>
        </row>
        <row r="302">
          <cell r="A302">
            <v>509968</v>
          </cell>
          <cell r="B302" t="str">
            <v xml:space="preserve">쇠고기간짜장１７０Ｇ          </v>
          </cell>
          <cell r="C302">
            <v>27.34</v>
          </cell>
          <cell r="D302">
            <v>1151.47</v>
          </cell>
          <cell r="E302">
            <v>4.2117599999999999</v>
          </cell>
        </row>
        <row r="303">
          <cell r="A303">
            <v>4190101</v>
          </cell>
          <cell r="B303" t="str">
            <v xml:space="preserve">레토르트 짜   장              </v>
          </cell>
          <cell r="C303">
            <v>31.96</v>
          </cell>
          <cell r="D303">
            <v>2771.9</v>
          </cell>
          <cell r="E303">
            <v>8.6720400000000009</v>
          </cell>
        </row>
        <row r="304">
          <cell r="A304">
            <v>509956</v>
          </cell>
          <cell r="B304" t="str">
            <v xml:space="preserve">쇠고기카레순한맛２００Ｇ      </v>
          </cell>
          <cell r="C304">
            <v>23.85</v>
          </cell>
          <cell r="D304">
            <v>652.08000000000004</v>
          </cell>
          <cell r="E304">
            <v>2.7337199999999999</v>
          </cell>
        </row>
        <row r="305">
          <cell r="A305">
            <v>509959</v>
          </cell>
          <cell r="B305" t="str">
            <v xml:space="preserve">쇠고기카레중간맛２００Ｇ      </v>
          </cell>
          <cell r="C305">
            <v>20.18</v>
          </cell>
          <cell r="D305">
            <v>657.36</v>
          </cell>
          <cell r="E305">
            <v>3.25692</v>
          </cell>
        </row>
        <row r="306">
          <cell r="A306">
            <v>509962</v>
          </cell>
          <cell r="B306" t="str">
            <v xml:space="preserve">쇠고기카레매운맛２００Ｇ      </v>
          </cell>
          <cell r="C306">
            <v>22.02</v>
          </cell>
          <cell r="D306">
            <v>809.28</v>
          </cell>
          <cell r="E306">
            <v>3.6754799999999999</v>
          </cell>
        </row>
        <row r="307">
          <cell r="A307">
            <v>4190103</v>
          </cell>
          <cell r="B307" t="str">
            <v xml:space="preserve">레토르트 카   레              </v>
          </cell>
          <cell r="C307">
            <v>21.92</v>
          </cell>
          <cell r="D307">
            <v>2118.7199999999998</v>
          </cell>
          <cell r="E307">
            <v>9.6661200000000012</v>
          </cell>
        </row>
        <row r="308">
          <cell r="A308">
            <v>508622</v>
          </cell>
          <cell r="B308" t="str">
            <v>쇠고기덮밥소스１９０Ｇ　　　　</v>
          </cell>
          <cell r="C308">
            <v>27.44</v>
          </cell>
          <cell r="D308">
            <v>759.92</v>
          </cell>
          <cell r="E308">
            <v>2.7691999999999997</v>
          </cell>
        </row>
        <row r="309">
          <cell r="A309">
            <v>510001</v>
          </cell>
          <cell r="B309" t="str">
            <v xml:space="preserve">쇠고기돈부리１７０Ｇ          </v>
          </cell>
          <cell r="C309">
            <v>28.37</v>
          </cell>
          <cell r="D309">
            <v>1223.6400000000001</v>
          </cell>
          <cell r="E309">
            <v>4.3136400000000004</v>
          </cell>
        </row>
        <row r="310">
          <cell r="A310">
            <v>510002</v>
          </cell>
          <cell r="B310" t="str">
            <v xml:space="preserve">닭고기돈부리１７０Ｇ          </v>
          </cell>
          <cell r="C310">
            <v>38.46</v>
          </cell>
          <cell r="D310">
            <v>596.58000000000004</v>
          </cell>
          <cell r="E310">
            <v>1.55118</v>
          </cell>
        </row>
        <row r="311">
          <cell r="A311">
            <v>510003</v>
          </cell>
          <cell r="B311" t="str">
            <v xml:space="preserve">해물맛돈부리１７０Ｇ          </v>
          </cell>
          <cell r="C311">
            <v>38.4</v>
          </cell>
          <cell r="D311">
            <v>771.84</v>
          </cell>
          <cell r="E311">
            <v>2.01024</v>
          </cell>
        </row>
        <row r="312">
          <cell r="A312">
            <v>4190105</v>
          </cell>
          <cell r="B312" t="str">
            <v xml:space="preserve">레토르트 덮   밥              </v>
          </cell>
          <cell r="C312">
            <v>31.49</v>
          </cell>
          <cell r="D312">
            <v>3351.98</v>
          </cell>
          <cell r="E312">
            <v>10.644260000000001</v>
          </cell>
        </row>
        <row r="313">
          <cell r="A313">
            <v>508545</v>
          </cell>
          <cell r="B313" t="str">
            <v>스파케티쏘스１５０Ｇ（쿡　　　</v>
          </cell>
          <cell r="C313">
            <v>7.5</v>
          </cell>
          <cell r="D313">
            <v>91.44</v>
          </cell>
          <cell r="E313">
            <v>1.2192000000000001</v>
          </cell>
        </row>
        <row r="314">
          <cell r="A314">
            <v>4190109</v>
          </cell>
          <cell r="B314" t="str">
            <v xml:space="preserve">레토르트스파게티              </v>
          </cell>
          <cell r="C314">
            <v>7.5</v>
          </cell>
          <cell r="D314">
            <v>91.44</v>
          </cell>
          <cell r="E314">
            <v>1.2192000000000001</v>
          </cell>
        </row>
        <row r="315">
          <cell r="A315">
            <v>4190100</v>
          </cell>
          <cell r="B315" t="str">
            <v xml:space="preserve">파우치형레토르트              </v>
          </cell>
          <cell r="C315">
            <v>27.59</v>
          </cell>
          <cell r="D315">
            <v>8334.0400000000009</v>
          </cell>
          <cell r="E315">
            <v>30.201619999999998</v>
          </cell>
        </row>
        <row r="316">
          <cell r="A316">
            <v>508441</v>
          </cell>
          <cell r="B316" t="str">
            <v xml:space="preserve">렌지함박스테이크１８５Ｇ      </v>
          </cell>
          <cell r="C316">
            <v>5</v>
          </cell>
          <cell r="D316">
            <v>633.76</v>
          </cell>
          <cell r="E316">
            <v>12.67436</v>
          </cell>
        </row>
        <row r="317">
          <cell r="A317">
            <v>508442</v>
          </cell>
          <cell r="B317" t="str">
            <v xml:space="preserve">렌지미트볼１８５Ｇ            </v>
          </cell>
          <cell r="C317">
            <v>5.15</v>
          </cell>
          <cell r="D317">
            <v>740.34</v>
          </cell>
          <cell r="E317">
            <v>14.380739999999999</v>
          </cell>
        </row>
        <row r="318">
          <cell r="A318">
            <v>508445</v>
          </cell>
          <cell r="B318" t="str">
            <v xml:space="preserve">렌지바베큐치킨１８５Ｇ        </v>
          </cell>
          <cell r="C318">
            <v>21.03</v>
          </cell>
          <cell r="D318">
            <v>745.52</v>
          </cell>
          <cell r="E318">
            <v>3.5442800000000001</v>
          </cell>
        </row>
        <row r="319">
          <cell r="A319">
            <v>508446</v>
          </cell>
          <cell r="B319" t="str">
            <v xml:space="preserve">렌지숯불떡갈비１８５Ｇ        </v>
          </cell>
          <cell r="C319">
            <v>9.3699999999999992</v>
          </cell>
          <cell r="D319">
            <v>1718.46</v>
          </cell>
          <cell r="E319">
            <v>18.331659999999999</v>
          </cell>
        </row>
        <row r="320">
          <cell r="A320">
            <v>4190301</v>
          </cell>
          <cell r="B320" t="str">
            <v xml:space="preserve">용기레토 육   류              </v>
          </cell>
          <cell r="C320">
            <v>7.84</v>
          </cell>
          <cell r="D320">
            <v>3838.08</v>
          </cell>
          <cell r="E320">
            <v>48.931040000000003</v>
          </cell>
        </row>
        <row r="321">
          <cell r="A321">
            <v>4190300</v>
          </cell>
          <cell r="B321" t="str">
            <v xml:space="preserve">용 기 형레토르트              </v>
          </cell>
          <cell r="C321">
            <v>7.84</v>
          </cell>
          <cell r="D321">
            <v>3838.08</v>
          </cell>
          <cell r="E321">
            <v>48.931040000000003</v>
          </cell>
        </row>
        <row r="322">
          <cell r="A322">
            <v>4190000</v>
          </cell>
          <cell r="B322" t="str">
            <v xml:space="preserve">레  토  르  트                </v>
          </cell>
          <cell r="C322">
            <v>15.38</v>
          </cell>
          <cell r="D322">
            <v>12172.12</v>
          </cell>
          <cell r="E322">
            <v>79.132660000000001</v>
          </cell>
        </row>
        <row r="323">
          <cell r="A323">
            <v>806012</v>
          </cell>
          <cell r="B323" t="str">
            <v xml:space="preserve">트래펑２Ｌ/이마트　　　　     </v>
          </cell>
          <cell r="C323">
            <v>20</v>
          </cell>
          <cell r="D323">
            <v>2732.16</v>
          </cell>
          <cell r="E323">
            <v>13.6608</v>
          </cell>
        </row>
        <row r="324">
          <cell r="A324">
            <v>5010301</v>
          </cell>
          <cell r="B324" t="str">
            <v xml:space="preserve">트     래     펑              </v>
          </cell>
          <cell r="C324">
            <v>20</v>
          </cell>
          <cell r="D324">
            <v>2732.16</v>
          </cell>
          <cell r="E324">
            <v>13.6608</v>
          </cell>
        </row>
        <row r="325">
          <cell r="A325">
            <v>5010300</v>
          </cell>
          <cell r="B325" t="str">
            <v xml:space="preserve">트    래    펑                </v>
          </cell>
          <cell r="C325">
            <v>20</v>
          </cell>
          <cell r="D325">
            <v>2732.16</v>
          </cell>
          <cell r="E325">
            <v>13.6608</v>
          </cell>
        </row>
        <row r="326">
          <cell r="A326">
            <v>806138</v>
          </cell>
          <cell r="B326" t="str">
            <v>락스４Ｌ　　　　　　　　　　　</v>
          </cell>
          <cell r="C326">
            <v>28</v>
          </cell>
          <cell r="D326">
            <v>1405.6</v>
          </cell>
          <cell r="E326">
            <v>5.0199999999999996</v>
          </cell>
        </row>
        <row r="327">
          <cell r="A327">
            <v>806241</v>
          </cell>
          <cell r="B327" t="str">
            <v>향락스２Ｌ　　　　　　　　　　</v>
          </cell>
          <cell r="C327">
            <v>19.36</v>
          </cell>
          <cell r="D327">
            <v>8267.76</v>
          </cell>
          <cell r="E327">
            <v>42.716160000000002</v>
          </cell>
        </row>
        <row r="328">
          <cell r="A328">
            <v>5010601</v>
          </cell>
          <cell r="B328" t="str">
            <v xml:space="preserve">락            스              </v>
          </cell>
          <cell r="C328">
            <v>20.260000000000002</v>
          </cell>
          <cell r="D328">
            <v>9673.36</v>
          </cell>
          <cell r="E328">
            <v>47.736160000000005</v>
          </cell>
        </row>
        <row r="329">
          <cell r="A329">
            <v>5010600</v>
          </cell>
          <cell r="B329" t="str">
            <v xml:space="preserve">락          스                </v>
          </cell>
          <cell r="C329">
            <v>20.260000000000002</v>
          </cell>
          <cell r="D329">
            <v>9673.36</v>
          </cell>
          <cell r="E329">
            <v>47.736160000000005</v>
          </cell>
        </row>
        <row r="330">
          <cell r="A330">
            <v>5010000</v>
          </cell>
          <cell r="B330" t="str">
            <v xml:space="preserve">생 활 용 품 류                </v>
          </cell>
          <cell r="C330">
            <v>20.21</v>
          </cell>
          <cell r="D330">
            <v>12405.52</v>
          </cell>
          <cell r="E330">
            <v>61.39696</v>
          </cell>
        </row>
        <row r="331">
          <cell r="A331">
            <v>413011</v>
          </cell>
          <cell r="B331" t="str">
            <v xml:space="preserve">스위트콘３４０Ｇ              </v>
          </cell>
          <cell r="C331">
            <v>6.63</v>
          </cell>
          <cell r="D331">
            <v>1238.69</v>
          </cell>
          <cell r="E331">
            <v>18.69293</v>
          </cell>
        </row>
        <row r="332">
          <cell r="A332">
            <v>5020701</v>
          </cell>
          <cell r="B332" t="str">
            <v xml:space="preserve">스   위   트  콘              </v>
          </cell>
          <cell r="C332">
            <v>6.63</v>
          </cell>
          <cell r="D332">
            <v>1238.69</v>
          </cell>
          <cell r="E332">
            <v>18.69293</v>
          </cell>
        </row>
        <row r="333">
          <cell r="A333">
            <v>5020700</v>
          </cell>
          <cell r="B333" t="str">
            <v xml:space="preserve">서  구  캔  류                </v>
          </cell>
          <cell r="C333">
            <v>6.63</v>
          </cell>
          <cell r="D333">
            <v>1238.69</v>
          </cell>
          <cell r="E333">
            <v>18.69293</v>
          </cell>
        </row>
        <row r="334">
          <cell r="A334">
            <v>5020000</v>
          </cell>
          <cell r="B334" t="str">
            <v xml:space="preserve">수 입 상 품 류                </v>
          </cell>
          <cell r="C334">
            <v>6.63</v>
          </cell>
          <cell r="D334">
            <v>1238.69</v>
          </cell>
          <cell r="E334">
            <v>18.69293</v>
          </cell>
        </row>
        <row r="335">
          <cell r="A335">
            <v>718612</v>
          </cell>
          <cell r="B335" t="str">
            <v xml:space="preserve">ｅ순살돈까스６００Ｇ          </v>
          </cell>
          <cell r="C335">
            <v>35.65</v>
          </cell>
          <cell r="D335">
            <v>3239.12</v>
          </cell>
          <cell r="E335">
            <v>9.0855200000000007</v>
          </cell>
        </row>
        <row r="336">
          <cell r="A336">
            <v>6015503</v>
          </cell>
          <cell r="B336" t="str">
            <v xml:space="preserve">돈     까     스              </v>
          </cell>
          <cell r="C336">
            <v>35.65</v>
          </cell>
          <cell r="D336">
            <v>3239.12</v>
          </cell>
          <cell r="E336">
            <v>9.0855200000000007</v>
          </cell>
        </row>
        <row r="337">
          <cell r="A337">
            <v>718220</v>
          </cell>
          <cell r="B337" t="str">
            <v>새우동그랑땡８００Ｇ　　　　　</v>
          </cell>
          <cell r="C337">
            <v>29.38</v>
          </cell>
          <cell r="D337">
            <v>5968.48</v>
          </cell>
          <cell r="E337">
            <v>20.31504</v>
          </cell>
        </row>
        <row r="338">
          <cell r="A338">
            <v>6015505</v>
          </cell>
          <cell r="B338" t="str">
            <v xml:space="preserve">햄     버     그              </v>
          </cell>
          <cell r="C338">
            <v>29.38</v>
          </cell>
          <cell r="D338">
            <v>5968.48</v>
          </cell>
          <cell r="E338">
            <v>20.31504</v>
          </cell>
        </row>
        <row r="339">
          <cell r="A339">
            <v>718414</v>
          </cell>
          <cell r="B339" t="str">
            <v>숯불떡갈비８００Ｇ　　　　　　</v>
          </cell>
          <cell r="C339">
            <v>28.57</v>
          </cell>
          <cell r="D339">
            <v>3094.64</v>
          </cell>
          <cell r="E339">
            <v>10.8324</v>
          </cell>
        </row>
        <row r="340">
          <cell r="A340">
            <v>718485</v>
          </cell>
          <cell r="B340" t="str">
            <v xml:space="preserve">숯불떡갈비９５０Ｇ／이마트    </v>
          </cell>
          <cell r="C340">
            <v>19.55</v>
          </cell>
          <cell r="D340">
            <v>25153.3</v>
          </cell>
          <cell r="E340">
            <v>128.65379999999999</v>
          </cell>
        </row>
        <row r="341">
          <cell r="A341">
            <v>6015513</v>
          </cell>
          <cell r="B341" t="str">
            <v xml:space="preserve">축   육  구   이              </v>
          </cell>
          <cell r="C341">
            <v>20.25</v>
          </cell>
          <cell r="D341">
            <v>28247.94</v>
          </cell>
          <cell r="E341">
            <v>139.48620000000003</v>
          </cell>
        </row>
        <row r="342">
          <cell r="A342">
            <v>6015500</v>
          </cell>
          <cell r="B342" t="str">
            <v xml:space="preserve">냉  식  제  조                </v>
          </cell>
          <cell r="C342">
            <v>22.18</v>
          </cell>
          <cell r="D342">
            <v>37455.54</v>
          </cell>
          <cell r="E342">
            <v>168.88676000000001</v>
          </cell>
        </row>
        <row r="343">
          <cell r="A343">
            <v>6010000</v>
          </cell>
          <cell r="B343" t="str">
            <v xml:space="preserve">냉 동 식 품 류                </v>
          </cell>
          <cell r="C343">
            <v>22.18</v>
          </cell>
          <cell r="D343">
            <v>37455.54</v>
          </cell>
          <cell r="E343">
            <v>168.88676000000001</v>
          </cell>
        </row>
        <row r="344">
          <cell r="A344" t="str">
            <v>TOT</v>
          </cell>
          <cell r="B344" t="str">
            <v>총  계</v>
          </cell>
          <cell r="C344">
            <v>33.590000000000003</v>
          </cell>
          <cell r="D344">
            <v>605979.81999999995</v>
          </cell>
          <cell r="E344">
            <v>1804.0213700000002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09"/>
      <sheetName val="코드"/>
      <sheetName val="점포별실적"/>
    </sheetNames>
    <sheetDataSet>
      <sheetData sheetId="0"/>
      <sheetData sheetId="1"/>
      <sheetData sheetId="2">
        <row r="5">
          <cell r="B5" t="str">
            <v xml:space="preserve">이마트평택점                  </v>
          </cell>
          <cell r="C5" t="str">
            <v>점포명</v>
          </cell>
          <cell r="D5">
            <v>10626.55</v>
          </cell>
        </row>
        <row r="6">
          <cell r="B6" t="str">
            <v xml:space="preserve">E-MART 평택점                 </v>
          </cell>
          <cell r="D6">
            <v>34546.451999999997</v>
          </cell>
        </row>
        <row r="7">
          <cell r="B7" t="str">
            <v>평택점</v>
          </cell>
          <cell r="C7">
            <v>0</v>
          </cell>
          <cell r="D7">
            <v>45173.001999999993</v>
          </cell>
        </row>
        <row r="8">
          <cell r="B8" t="str">
            <v xml:space="preserve">이마트이천점                  </v>
          </cell>
          <cell r="C8">
            <v>5882.5649999999996</v>
          </cell>
          <cell r="D8">
            <v>8455.1200000000008</v>
          </cell>
        </row>
        <row r="9">
          <cell r="B9" t="str">
            <v xml:space="preserve">E-MART 이천점                 </v>
          </cell>
          <cell r="C9">
            <v>29515.563999999998</v>
          </cell>
          <cell r="D9">
            <v>25125.076000000001</v>
          </cell>
        </row>
        <row r="10">
          <cell r="B10" t="str">
            <v>이천점</v>
          </cell>
          <cell r="C10">
            <v>35398.129000000001</v>
          </cell>
          <cell r="D10">
            <v>33580.196000000004</v>
          </cell>
        </row>
        <row r="11">
          <cell r="B11" t="str">
            <v xml:space="preserve">E-MART 둔산점                 </v>
          </cell>
          <cell r="C11">
            <v>34028.856</v>
          </cell>
          <cell r="D11">
            <v>35815.9</v>
          </cell>
        </row>
        <row r="12">
          <cell r="B12" t="str">
            <v xml:space="preserve">이마트둔산점                  </v>
          </cell>
          <cell r="D12">
            <v>14832.785</v>
          </cell>
        </row>
        <row r="13">
          <cell r="B13" t="str">
            <v>둔산점</v>
          </cell>
          <cell r="C13">
            <v>0</v>
          </cell>
          <cell r="D13">
            <v>50648.684999999998</v>
          </cell>
        </row>
        <row r="14">
          <cell r="B14" t="str">
            <v xml:space="preserve">이마트청주점                  </v>
          </cell>
          <cell r="C14">
            <v>5065.7349999999997</v>
          </cell>
          <cell r="D14">
            <v>10570.995000000001</v>
          </cell>
        </row>
        <row r="15">
          <cell r="B15" t="str">
            <v xml:space="preserve">E-MART 청주점                 </v>
          </cell>
          <cell r="C15">
            <v>30580.018</v>
          </cell>
          <cell r="D15">
            <v>28311.936000000002</v>
          </cell>
        </row>
        <row r="16">
          <cell r="B16" t="str">
            <v>청주점</v>
          </cell>
          <cell r="C16">
            <v>35645.752999999997</v>
          </cell>
          <cell r="D16">
            <v>38882.931000000004</v>
          </cell>
        </row>
        <row r="17">
          <cell r="B17" t="str">
            <v xml:space="preserve">이마트충주점                  </v>
          </cell>
          <cell r="C17">
            <v>41048.26</v>
          </cell>
          <cell r="D17">
            <v>5098.4250000000002</v>
          </cell>
        </row>
        <row r="18">
          <cell r="B18" t="str">
            <v xml:space="preserve">E-MART 충주점                 </v>
          </cell>
          <cell r="D18">
            <v>19475.308000000001</v>
          </cell>
        </row>
        <row r="19">
          <cell r="B19" t="str">
            <v>충주점</v>
          </cell>
          <cell r="C19">
            <v>0</v>
          </cell>
          <cell r="D19">
            <v>24573.733</v>
          </cell>
        </row>
        <row r="20">
          <cell r="B20" t="str">
            <v xml:space="preserve">E-MART 천안점                 </v>
          </cell>
          <cell r="C20">
            <v>31787.054</v>
          </cell>
          <cell r="D20">
            <v>32590.844000000001</v>
          </cell>
        </row>
        <row r="21">
          <cell r="B21" t="str">
            <v xml:space="preserve">이마트 천안점                 </v>
          </cell>
          <cell r="C21">
            <v>4834.2730000000001</v>
          </cell>
          <cell r="D21">
            <v>12905.315000000001</v>
          </cell>
        </row>
        <row r="22">
          <cell r="B22" t="str">
            <v>천안점</v>
          </cell>
          <cell r="C22">
            <v>36621.326999999997</v>
          </cell>
          <cell r="D22">
            <v>45496.159</v>
          </cell>
        </row>
        <row r="23">
          <cell r="B23" t="str">
            <v xml:space="preserve">이마트원주점                  </v>
          </cell>
          <cell r="C23">
            <v>7972.9939999999997</v>
          </cell>
          <cell r="D23">
            <v>13851.514999999999</v>
          </cell>
        </row>
        <row r="24">
          <cell r="B24" t="str">
            <v xml:space="preserve">E-MART 원주점                 </v>
          </cell>
          <cell r="C24">
            <v>32691.21</v>
          </cell>
          <cell r="D24">
            <v>26284.754000000001</v>
          </cell>
        </row>
        <row r="25">
          <cell r="B25" t="str">
            <v>원주점</v>
          </cell>
          <cell r="C25">
            <v>40664.203999999998</v>
          </cell>
          <cell r="D25">
            <v>40136.269</v>
          </cell>
        </row>
        <row r="26">
          <cell r="B26" t="str">
            <v xml:space="preserve">이마트남원점                  </v>
          </cell>
          <cell r="C26">
            <v>3710.5770000000002</v>
          </cell>
          <cell r="D26">
            <v>3569.4650000000001</v>
          </cell>
        </row>
        <row r="27">
          <cell r="B27" t="str">
            <v xml:space="preserve">E-MART 남원점                 </v>
          </cell>
          <cell r="C27">
            <v>19981.198</v>
          </cell>
          <cell r="D27">
            <v>18401.205999999998</v>
          </cell>
        </row>
        <row r="28">
          <cell r="B28" t="str">
            <v>남원점</v>
          </cell>
          <cell r="C28">
            <v>23691.775000000001</v>
          </cell>
          <cell r="D28">
            <v>21970.670999999998</v>
          </cell>
        </row>
        <row r="29">
          <cell r="B29" t="str">
            <v xml:space="preserve">이마트전주점                  </v>
          </cell>
          <cell r="C29">
            <v>14189.957</v>
          </cell>
          <cell r="D29">
            <v>15342.65</v>
          </cell>
        </row>
        <row r="30">
          <cell r="B30" t="str">
            <v xml:space="preserve">E-MART 전주점                 </v>
          </cell>
          <cell r="C30">
            <v>53941.194000000003</v>
          </cell>
          <cell r="D30">
            <v>50458.023999999998</v>
          </cell>
        </row>
        <row r="31">
          <cell r="B31" t="str">
            <v>전주점</v>
          </cell>
          <cell r="C31">
            <v>68131.150999999998</v>
          </cell>
          <cell r="D31">
            <v>65800.673999999999</v>
          </cell>
        </row>
        <row r="32">
          <cell r="B32" t="str">
            <v xml:space="preserve">이마트군산점                  </v>
          </cell>
          <cell r="C32">
            <v>8165.1390000000001</v>
          </cell>
          <cell r="D32">
            <v>12292.91</v>
          </cell>
        </row>
        <row r="33">
          <cell r="B33" t="str">
            <v xml:space="preserve">E-MART 군산점                 </v>
          </cell>
          <cell r="C33">
            <v>43244.436000000002</v>
          </cell>
          <cell r="D33">
            <v>44642.26</v>
          </cell>
        </row>
        <row r="34">
          <cell r="B34" t="str">
            <v>군산점</v>
          </cell>
          <cell r="C34">
            <v>51409.575000000004</v>
          </cell>
          <cell r="D34">
            <v>56935.17</v>
          </cell>
        </row>
        <row r="35">
          <cell r="B35" t="str">
            <v xml:space="preserve">이마트동광주점                </v>
          </cell>
          <cell r="C35">
            <v>4736.3389999999999</v>
          </cell>
          <cell r="D35">
            <v>7913.6949999999997</v>
          </cell>
        </row>
        <row r="36">
          <cell r="B36" t="str">
            <v xml:space="preserve">E-MART 동광주점               </v>
          </cell>
          <cell r="C36">
            <v>29929.058000000001</v>
          </cell>
          <cell r="D36">
            <v>30671.17</v>
          </cell>
        </row>
        <row r="37">
          <cell r="B37" t="str">
            <v>동광주점</v>
          </cell>
          <cell r="C37">
            <v>34665.396999999997</v>
          </cell>
          <cell r="D37">
            <v>38584.864999999998</v>
          </cell>
        </row>
        <row r="38">
          <cell r="B38" t="str">
            <v xml:space="preserve">이마트 상무대점               </v>
          </cell>
          <cell r="C38">
            <v>38874.986000000004</v>
          </cell>
          <cell r="D38">
            <v>5873.8850000000002</v>
          </cell>
        </row>
        <row r="39">
          <cell r="B39" t="str">
            <v xml:space="preserve">E-MART 상무대점               </v>
          </cell>
          <cell r="D39">
            <v>16378.212</v>
          </cell>
        </row>
        <row r="40">
          <cell r="B40" t="str">
            <v>상무점</v>
          </cell>
          <cell r="C40">
            <v>0</v>
          </cell>
          <cell r="D40">
            <v>22252.097000000002</v>
          </cell>
        </row>
        <row r="41">
          <cell r="B41" t="str">
            <v xml:space="preserve">E-MART 목포점                 </v>
          </cell>
          <cell r="C41">
            <v>39305.641000000003</v>
          </cell>
          <cell r="D41">
            <v>40435.281999999999</v>
          </cell>
        </row>
        <row r="42">
          <cell r="B42" t="str">
            <v xml:space="preserve">이마트목포점                  </v>
          </cell>
          <cell r="C42">
            <v>5532.5640000000003</v>
          </cell>
          <cell r="D42">
            <v>12114.57</v>
          </cell>
        </row>
        <row r="43">
          <cell r="B43" t="str">
            <v>목포점</v>
          </cell>
          <cell r="C43">
            <v>44838.205000000002</v>
          </cell>
          <cell r="D43">
            <v>52549.851999999999</v>
          </cell>
        </row>
        <row r="44">
          <cell r="B44" t="str">
            <v xml:space="preserve">E-MART 여수점                 </v>
          </cell>
          <cell r="C44">
            <v>62165.68</v>
          </cell>
          <cell r="D44">
            <v>24230.89</v>
          </cell>
        </row>
        <row r="45">
          <cell r="B45" t="str">
            <v xml:space="preserve">이마트여수점                  </v>
          </cell>
          <cell r="D45">
            <v>8854.2250000000004</v>
          </cell>
        </row>
        <row r="46">
          <cell r="B46" t="str">
            <v>여수점</v>
          </cell>
          <cell r="C46">
            <v>0</v>
          </cell>
          <cell r="D46">
            <v>33085.114999999998</v>
          </cell>
        </row>
        <row r="47">
          <cell r="B47" t="str">
            <v xml:space="preserve">이마트제주점                  </v>
          </cell>
          <cell r="C47">
            <v>9943.0079999999998</v>
          </cell>
          <cell r="D47">
            <v>11968.75</v>
          </cell>
        </row>
        <row r="48">
          <cell r="B48" t="str">
            <v xml:space="preserve">E-MART 제주점                 </v>
          </cell>
          <cell r="C48">
            <v>45576.25</v>
          </cell>
          <cell r="D48">
            <v>43700.754999999997</v>
          </cell>
        </row>
        <row r="49">
          <cell r="B49" t="str">
            <v>제주점</v>
          </cell>
          <cell r="C49">
            <v>55519.258000000002</v>
          </cell>
          <cell r="D49">
            <v>55669.504999999997</v>
          </cell>
        </row>
        <row r="50">
          <cell r="B50" t="str">
            <v xml:space="preserve">이마트진주점                  </v>
          </cell>
          <cell r="C50">
            <v>4090.7339999999999</v>
          </cell>
          <cell r="D50">
            <v>7693.88</v>
          </cell>
        </row>
        <row r="51">
          <cell r="B51" t="str">
            <v xml:space="preserve">E-MART 진주점                 </v>
          </cell>
          <cell r="C51">
            <v>28115.112000000001</v>
          </cell>
          <cell r="D51">
            <v>26162.952000000001</v>
          </cell>
        </row>
        <row r="52">
          <cell r="B52" t="str">
            <v>진주점</v>
          </cell>
          <cell r="C52">
            <v>32205.846000000001</v>
          </cell>
          <cell r="D52">
            <v>33856.832000000002</v>
          </cell>
        </row>
        <row r="53">
          <cell r="B53" t="str">
            <v xml:space="preserve">이마트은평점                  </v>
          </cell>
          <cell r="C53">
            <v>36304.597999999998</v>
          </cell>
          <cell r="D53">
            <v>26564.384999999998</v>
          </cell>
        </row>
        <row r="54">
          <cell r="B54" t="str">
            <v xml:space="preserve">E-MART 은평점                 </v>
          </cell>
          <cell r="D54">
            <v>64001.953999999998</v>
          </cell>
        </row>
        <row r="55">
          <cell r="B55" t="str">
            <v>은평점</v>
          </cell>
          <cell r="C55">
            <v>0</v>
          </cell>
          <cell r="D55">
            <v>90566.338999999993</v>
          </cell>
        </row>
        <row r="56">
          <cell r="B56" t="str">
            <v xml:space="preserve">E-MART 일산점                 </v>
          </cell>
          <cell r="C56">
            <v>48277.135999999999</v>
          </cell>
          <cell r="D56">
            <v>38553.796999999999</v>
          </cell>
        </row>
        <row r="57">
          <cell r="B57" t="str">
            <v xml:space="preserve">이마트일산점                  </v>
          </cell>
          <cell r="C57">
            <v>11276.152</v>
          </cell>
          <cell r="D57">
            <v>18046.82</v>
          </cell>
        </row>
        <row r="58">
          <cell r="B58" t="str">
            <v>일산점</v>
          </cell>
          <cell r="C58">
            <v>59553.288</v>
          </cell>
          <cell r="D58">
            <v>56600.616999999998</v>
          </cell>
        </row>
        <row r="59">
          <cell r="B59" t="str">
            <v xml:space="preserve">E-MART 성수점                 </v>
          </cell>
          <cell r="C59">
            <v>40469.902999999998</v>
          </cell>
          <cell r="D59">
            <v>46520.9</v>
          </cell>
        </row>
        <row r="60">
          <cell r="B60" t="str">
            <v xml:space="preserve">이마트성수점                  </v>
          </cell>
          <cell r="C60">
            <v>7057.3389999999999</v>
          </cell>
          <cell r="D60">
            <v>26137.365000000002</v>
          </cell>
        </row>
        <row r="61">
          <cell r="B61" t="str">
            <v>성수점</v>
          </cell>
          <cell r="C61">
            <v>47527.241999999998</v>
          </cell>
          <cell r="D61">
            <v>72658.264999999999</v>
          </cell>
        </row>
        <row r="62">
          <cell r="B62" t="str">
            <v xml:space="preserve">이마트상봉점                  </v>
          </cell>
          <cell r="C62">
            <v>10499.254000000001</v>
          </cell>
          <cell r="D62">
            <v>19516.37</v>
          </cell>
        </row>
        <row r="63">
          <cell r="B63" t="str">
            <v xml:space="preserve">E-MART 상봉점                 </v>
          </cell>
          <cell r="C63">
            <v>49401.273999999998</v>
          </cell>
          <cell r="D63">
            <v>51737.521999999997</v>
          </cell>
        </row>
        <row r="64">
          <cell r="B64" t="str">
            <v>상봉점</v>
          </cell>
          <cell r="C64">
            <v>59900.527999999998</v>
          </cell>
          <cell r="D64">
            <v>71253.891999999993</v>
          </cell>
        </row>
        <row r="65">
          <cell r="B65" t="str">
            <v xml:space="preserve">이마트창동점                  </v>
          </cell>
          <cell r="C65">
            <v>13088.028</v>
          </cell>
          <cell r="D65">
            <v>20833.75</v>
          </cell>
        </row>
        <row r="66">
          <cell r="B66" t="str">
            <v xml:space="preserve">E-MART 창동점                 </v>
          </cell>
          <cell r="C66">
            <v>45175.985999999997</v>
          </cell>
          <cell r="D66">
            <v>40792.697999999997</v>
          </cell>
        </row>
        <row r="67">
          <cell r="B67" t="str">
            <v>창동점</v>
          </cell>
          <cell r="C67">
            <v>58264.013999999996</v>
          </cell>
          <cell r="D67">
            <v>61626.447999999997</v>
          </cell>
        </row>
        <row r="68">
          <cell r="B68" t="str">
            <v xml:space="preserve">E-MART 수서점                 </v>
          </cell>
          <cell r="C68">
            <v>7392.2709999999997</v>
          </cell>
          <cell r="D68">
            <v>6033.0540000000001</v>
          </cell>
        </row>
        <row r="69">
          <cell r="B69" t="str">
            <v xml:space="preserve">이마트 수서                   </v>
          </cell>
          <cell r="C69">
            <v>1615.453</v>
          </cell>
          <cell r="D69">
            <v>4281.165</v>
          </cell>
        </row>
        <row r="70">
          <cell r="B70" t="str">
            <v>수서(E)</v>
          </cell>
          <cell r="C70">
            <v>9007.7240000000002</v>
          </cell>
          <cell r="D70">
            <v>10314.219000000001</v>
          </cell>
        </row>
        <row r="71">
          <cell r="B71" t="str">
            <v xml:space="preserve">E-MART 분당점                 </v>
          </cell>
          <cell r="C71">
            <v>55110.345000000001</v>
          </cell>
          <cell r="D71">
            <v>48672.712</v>
          </cell>
        </row>
        <row r="72">
          <cell r="B72" t="str">
            <v xml:space="preserve">이마트분당점                  </v>
          </cell>
          <cell r="C72">
            <v>10841.281000000001</v>
          </cell>
          <cell r="D72">
            <v>23157.404999999999</v>
          </cell>
        </row>
        <row r="73">
          <cell r="B73" t="str">
            <v>분당점</v>
          </cell>
          <cell r="C73">
            <v>65951.626000000004</v>
          </cell>
          <cell r="D73">
            <v>71830.116999999998</v>
          </cell>
        </row>
        <row r="74">
          <cell r="B74" t="str">
            <v xml:space="preserve">이마트천호점                  </v>
          </cell>
          <cell r="C74">
            <v>8824.5360000000001</v>
          </cell>
          <cell r="D74">
            <v>20074.87</v>
          </cell>
        </row>
        <row r="75">
          <cell r="B75" t="str">
            <v xml:space="preserve">E-MART 천호점                 </v>
          </cell>
          <cell r="C75">
            <v>45175.057999999997</v>
          </cell>
          <cell r="D75">
            <v>49017.94</v>
          </cell>
        </row>
        <row r="76">
          <cell r="B76" t="str">
            <v>천호점</v>
          </cell>
          <cell r="C76">
            <v>53999.593999999997</v>
          </cell>
          <cell r="D76">
            <v>69092.81</v>
          </cell>
        </row>
        <row r="77">
          <cell r="B77" t="str">
            <v xml:space="preserve">이마트부천역사                </v>
          </cell>
          <cell r="C77">
            <v>13005.504999999999</v>
          </cell>
          <cell r="D77">
            <v>20351.669999999998</v>
          </cell>
        </row>
        <row r="78">
          <cell r="B78" t="str">
            <v xml:space="preserve">E-MART 부천역사               </v>
          </cell>
          <cell r="C78">
            <v>54196.457000000002</v>
          </cell>
          <cell r="D78">
            <v>54741.974000000002</v>
          </cell>
        </row>
        <row r="79">
          <cell r="B79" t="str">
            <v>부천역사</v>
          </cell>
          <cell r="C79">
            <v>67201.962</v>
          </cell>
          <cell r="D79">
            <v>75093.644</v>
          </cell>
        </row>
        <row r="80">
          <cell r="B80" t="str">
            <v xml:space="preserve">이마트신월(E)                 </v>
          </cell>
          <cell r="C80">
            <v>4147.0219999999999</v>
          </cell>
          <cell r="D80">
            <v>6248.1149999999998</v>
          </cell>
        </row>
        <row r="81">
          <cell r="B81" t="str">
            <v xml:space="preserve">E-MART 신월(E)                </v>
          </cell>
          <cell r="C81">
            <v>14683.316000000001</v>
          </cell>
          <cell r="D81">
            <v>13455.348</v>
          </cell>
        </row>
        <row r="82">
          <cell r="B82" t="str">
            <v>신월(E)</v>
          </cell>
          <cell r="C82">
            <v>18830.338</v>
          </cell>
          <cell r="D82">
            <v>19703.463</v>
          </cell>
        </row>
        <row r="83">
          <cell r="B83" t="str">
            <v xml:space="preserve">이마트가양점                  </v>
          </cell>
          <cell r="C83">
            <v>11426.653</v>
          </cell>
          <cell r="D83">
            <v>24675.084999999999</v>
          </cell>
        </row>
        <row r="84">
          <cell r="B84" t="str">
            <v xml:space="preserve">E-MART 가양점                 </v>
          </cell>
          <cell r="C84">
            <v>68815.95</v>
          </cell>
          <cell r="D84">
            <v>59828.7</v>
          </cell>
        </row>
        <row r="85">
          <cell r="B85" t="str">
            <v>가양점</v>
          </cell>
          <cell r="C85">
            <v>80242.603000000003</v>
          </cell>
          <cell r="D85">
            <v>84503.785000000003</v>
          </cell>
        </row>
        <row r="86">
          <cell r="B86" t="str">
            <v xml:space="preserve">이마트구로점                  </v>
          </cell>
          <cell r="C86">
            <v>11547.079</v>
          </cell>
          <cell r="D86">
            <v>23596.38</v>
          </cell>
        </row>
        <row r="87">
          <cell r="B87" t="str">
            <v xml:space="preserve">E-MART 구로점                 </v>
          </cell>
          <cell r="C87">
            <v>53205.175999999999</v>
          </cell>
          <cell r="D87">
            <v>46990.701999999997</v>
          </cell>
        </row>
        <row r="88">
          <cell r="B88" t="str">
            <v>구로점</v>
          </cell>
          <cell r="C88">
            <v>64752.254999999997</v>
          </cell>
          <cell r="D88">
            <v>70587.081999999995</v>
          </cell>
        </row>
        <row r="89">
          <cell r="B89" t="str">
            <v xml:space="preserve">이마트인천점                  </v>
          </cell>
          <cell r="C89">
            <v>10850.161</v>
          </cell>
          <cell r="D89">
            <v>15231.4</v>
          </cell>
        </row>
        <row r="90">
          <cell r="B90" t="str">
            <v xml:space="preserve">E-MART 인천점                 </v>
          </cell>
          <cell r="C90">
            <v>55715.56</v>
          </cell>
          <cell r="D90">
            <v>51925.468000000001</v>
          </cell>
        </row>
        <row r="91">
          <cell r="B91" t="str">
            <v>인천점</v>
          </cell>
          <cell r="C91">
            <v>66565.72099999999</v>
          </cell>
          <cell r="D91">
            <v>67156.868000000002</v>
          </cell>
        </row>
        <row r="92">
          <cell r="B92" t="str">
            <v xml:space="preserve">E-MART 수원점                 </v>
          </cell>
          <cell r="C92">
            <v>83125.066999999995</v>
          </cell>
          <cell r="D92">
            <v>35581.707999999999</v>
          </cell>
        </row>
        <row r="93">
          <cell r="B93" t="str">
            <v xml:space="preserve">이마트수원점                  </v>
          </cell>
          <cell r="D93">
            <v>15407.56</v>
          </cell>
        </row>
        <row r="94">
          <cell r="B94" t="str">
            <v>수원점</v>
          </cell>
          <cell r="C94">
            <v>0</v>
          </cell>
          <cell r="D94">
            <v>50989.267999999996</v>
          </cell>
        </row>
        <row r="95">
          <cell r="B95" t="str">
            <v xml:space="preserve">이마트안산점                  </v>
          </cell>
          <cell r="C95">
            <v>5588.8530000000001</v>
          </cell>
          <cell r="D95">
            <v>8172.4049999999997</v>
          </cell>
        </row>
        <row r="96">
          <cell r="B96" t="str">
            <v xml:space="preserve">E-MART 안산점                 </v>
          </cell>
          <cell r="C96">
            <v>30852.653999999999</v>
          </cell>
          <cell r="D96">
            <v>24062.292000000001</v>
          </cell>
        </row>
        <row r="97">
          <cell r="B97" t="str">
            <v>안산점</v>
          </cell>
          <cell r="C97">
            <v>36441.506999999998</v>
          </cell>
          <cell r="D97">
            <v>32234.697</v>
          </cell>
        </row>
        <row r="98">
          <cell r="B98" t="str">
            <v xml:space="preserve">이마트동인천점                </v>
          </cell>
          <cell r="C98">
            <v>9114.27</v>
          </cell>
          <cell r="D98">
            <v>11535.434999999999</v>
          </cell>
        </row>
        <row r="99">
          <cell r="B99" t="str">
            <v xml:space="preserve">E-MART 동인천점               </v>
          </cell>
          <cell r="C99">
            <v>44924.565999999999</v>
          </cell>
          <cell r="D99">
            <v>40103.781999999999</v>
          </cell>
        </row>
        <row r="100">
          <cell r="B100" t="str">
            <v>동인천점</v>
          </cell>
          <cell r="C100">
            <v>54038.835999999996</v>
          </cell>
          <cell r="D100">
            <v>51639.216999999997</v>
          </cell>
        </row>
        <row r="101">
          <cell r="B101" t="str">
            <v xml:space="preserve">이마트시화점                  </v>
          </cell>
          <cell r="C101">
            <v>5228.4629999999997</v>
          </cell>
          <cell r="D101">
            <v>9785.2999999999993</v>
          </cell>
        </row>
        <row r="102">
          <cell r="B102" t="str">
            <v xml:space="preserve">E-MART 시화점                 </v>
          </cell>
          <cell r="C102">
            <v>26020.054</v>
          </cell>
          <cell r="D102">
            <v>29775.313999999998</v>
          </cell>
        </row>
        <row r="103">
          <cell r="B103" t="str">
            <v>시화점</v>
          </cell>
          <cell r="C103">
            <v>31248.517</v>
          </cell>
          <cell r="D103">
            <v>39560.614000000001</v>
          </cell>
        </row>
        <row r="104">
          <cell r="B104" t="str">
            <v xml:space="preserve">이마트부평점                  </v>
          </cell>
          <cell r="C104">
            <v>11896.754999999999</v>
          </cell>
          <cell r="D104">
            <v>13194.85</v>
          </cell>
        </row>
        <row r="105">
          <cell r="B105" t="str">
            <v xml:space="preserve">E-MART 부평점                 </v>
          </cell>
          <cell r="C105">
            <v>56801.173999999999</v>
          </cell>
          <cell r="D105">
            <v>41119.671999999999</v>
          </cell>
        </row>
        <row r="106">
          <cell r="B106" t="str">
            <v>부평점</v>
          </cell>
          <cell r="C106">
            <v>68697.929000000004</v>
          </cell>
          <cell r="D106">
            <v>54314.521999999997</v>
          </cell>
        </row>
        <row r="107">
          <cell r="B107" t="str">
            <v xml:space="preserve">이마트안양점                  </v>
          </cell>
          <cell r="C107">
            <v>10286.001</v>
          </cell>
          <cell r="D107">
            <v>22099.724999999999</v>
          </cell>
        </row>
        <row r="108">
          <cell r="B108" t="str">
            <v xml:space="preserve">E-MART 안양점                 </v>
          </cell>
          <cell r="C108">
            <v>64282.267999999996</v>
          </cell>
          <cell r="D108">
            <v>45519.156000000003</v>
          </cell>
        </row>
        <row r="109">
          <cell r="B109" t="str">
            <v>안양점</v>
          </cell>
          <cell r="C109">
            <v>74568.269</v>
          </cell>
          <cell r="D109">
            <v>67618.880999999994</v>
          </cell>
        </row>
        <row r="110">
          <cell r="B110" t="str">
            <v xml:space="preserve">이마트산본점                  </v>
          </cell>
          <cell r="C110">
            <v>10531.915000000001</v>
          </cell>
          <cell r="D110">
            <v>20647.759999999998</v>
          </cell>
        </row>
        <row r="111">
          <cell r="B111" t="str">
            <v xml:space="preserve">E-MART 산본점                 </v>
          </cell>
          <cell r="C111">
            <v>63004.892</v>
          </cell>
          <cell r="D111">
            <v>54508.462</v>
          </cell>
        </row>
        <row r="112">
          <cell r="B112" t="str">
            <v>산본점</v>
          </cell>
          <cell r="C112">
            <v>73536.807000000001</v>
          </cell>
          <cell r="D112">
            <v>75156.221999999994</v>
          </cell>
        </row>
        <row r="113">
          <cell r="B113" t="str">
            <v xml:space="preserve">이마트만촌점                  </v>
          </cell>
          <cell r="C113">
            <v>6083.9</v>
          </cell>
          <cell r="D113">
            <v>13515.014999999999</v>
          </cell>
        </row>
        <row r="114">
          <cell r="B114" t="str">
            <v xml:space="preserve">E-MART 만촌점                 </v>
          </cell>
          <cell r="C114">
            <v>37307.366000000002</v>
          </cell>
          <cell r="D114">
            <v>31757.558000000001</v>
          </cell>
        </row>
        <row r="115">
          <cell r="B115" t="str">
            <v>만촌점</v>
          </cell>
          <cell r="C115">
            <v>43391.266000000003</v>
          </cell>
          <cell r="D115">
            <v>45272.573000000004</v>
          </cell>
        </row>
        <row r="116">
          <cell r="B116" t="str">
            <v xml:space="preserve">이마트칠성점                  </v>
          </cell>
          <cell r="C116">
            <v>60552.053999999996</v>
          </cell>
          <cell r="D116">
            <v>9401.8150000000005</v>
          </cell>
        </row>
        <row r="117">
          <cell r="B117" t="str">
            <v xml:space="preserve">E-MART 칠성점                 </v>
          </cell>
          <cell r="D117">
            <v>22134.146000000001</v>
          </cell>
        </row>
        <row r="118">
          <cell r="B118" t="str">
            <v>칠성점</v>
          </cell>
          <cell r="C118">
            <v>0</v>
          </cell>
          <cell r="D118">
            <v>31535.961000000003</v>
          </cell>
        </row>
        <row r="119">
          <cell r="B119" t="str">
            <v xml:space="preserve">이마트김천점                  </v>
          </cell>
          <cell r="C119">
            <v>3936.143</v>
          </cell>
          <cell r="D119">
            <v>6485.875</v>
          </cell>
        </row>
        <row r="120">
          <cell r="B120" t="str">
            <v xml:space="preserve">E-MART 김천점                 </v>
          </cell>
          <cell r="C120">
            <v>22266.466</v>
          </cell>
          <cell r="D120">
            <v>17445.526000000002</v>
          </cell>
        </row>
        <row r="121">
          <cell r="B121" t="str">
            <v>김천점</v>
          </cell>
          <cell r="C121">
            <v>26202.609</v>
          </cell>
          <cell r="D121">
            <v>23931.401000000002</v>
          </cell>
        </row>
        <row r="122">
          <cell r="B122" t="str">
            <v xml:space="preserve">이마트월배점                  </v>
          </cell>
          <cell r="C122">
            <v>6901.61</v>
          </cell>
          <cell r="D122">
            <v>16347.645</v>
          </cell>
        </row>
        <row r="123">
          <cell r="B123" t="str">
            <v xml:space="preserve">E-MART 월배점                 </v>
          </cell>
          <cell r="C123">
            <v>42004.694000000003</v>
          </cell>
          <cell r="D123">
            <v>37650.864000000001</v>
          </cell>
        </row>
        <row r="124">
          <cell r="B124" t="str">
            <v>월배점</v>
          </cell>
          <cell r="C124">
            <v>48906.304000000004</v>
          </cell>
          <cell r="D124">
            <v>53998.509000000005</v>
          </cell>
        </row>
        <row r="125">
          <cell r="B125" t="str">
            <v xml:space="preserve">E-MART 구미점                 </v>
          </cell>
          <cell r="C125">
            <v>54371.067999999999</v>
          </cell>
          <cell r="D125">
            <v>25814.423999999999</v>
          </cell>
        </row>
        <row r="126">
          <cell r="B126" t="str">
            <v xml:space="preserve">이마트구미점                  </v>
          </cell>
          <cell r="D126">
            <v>9802.8799999999992</v>
          </cell>
        </row>
        <row r="127">
          <cell r="B127" t="str">
            <v>구미점</v>
          </cell>
          <cell r="C127">
            <v>0</v>
          </cell>
          <cell r="D127">
            <v>35617.303999999996</v>
          </cell>
        </row>
        <row r="128">
          <cell r="B128" t="str">
            <v xml:space="preserve">이마트성서점                  </v>
          </cell>
          <cell r="C128">
            <v>7753.3280000000004</v>
          </cell>
          <cell r="D128">
            <v>13864.57</v>
          </cell>
        </row>
        <row r="129">
          <cell r="B129" t="str">
            <v xml:space="preserve">E-MART 성서점                 </v>
          </cell>
          <cell r="C129">
            <v>45335.544999999998</v>
          </cell>
          <cell r="D129">
            <v>37086.01</v>
          </cell>
        </row>
        <row r="130">
          <cell r="B130" t="str">
            <v>성서점</v>
          </cell>
          <cell r="C130">
            <v>53088.873</v>
          </cell>
          <cell r="D130">
            <v>50950.58</v>
          </cell>
        </row>
        <row r="131">
          <cell r="B131" t="str">
            <v xml:space="preserve">이마트포항점                  </v>
          </cell>
          <cell r="C131">
            <v>65986.152999999991</v>
          </cell>
          <cell r="D131">
            <v>9260.65</v>
          </cell>
        </row>
        <row r="132">
          <cell r="B132" t="str">
            <v xml:space="preserve">E-MART 포항점                 </v>
          </cell>
          <cell r="D132">
            <v>23023.484</v>
          </cell>
        </row>
        <row r="133">
          <cell r="B133" t="str">
            <v>포항점</v>
          </cell>
          <cell r="C133">
            <v>0</v>
          </cell>
          <cell r="D133">
            <v>32284.133999999998</v>
          </cell>
        </row>
        <row r="134">
          <cell r="B134" t="str">
            <v xml:space="preserve">E-MART 창원점                 </v>
          </cell>
          <cell r="C134">
            <v>0</v>
          </cell>
          <cell r="D134">
            <v>32620.898000000001</v>
          </cell>
        </row>
        <row r="135">
          <cell r="B135" t="str">
            <v xml:space="preserve">이마트 창원점                 </v>
          </cell>
          <cell r="D135">
            <v>16137.415000000001</v>
          </cell>
        </row>
        <row r="136">
          <cell r="B136" t="str">
            <v>창원점</v>
          </cell>
          <cell r="C136">
            <v>0</v>
          </cell>
          <cell r="D136">
            <v>48758.313000000002</v>
          </cell>
        </row>
        <row r="137">
          <cell r="B137" t="str">
            <v xml:space="preserve">이마트서부산점                </v>
          </cell>
          <cell r="C137">
            <v>9452.2790000000005</v>
          </cell>
          <cell r="D137">
            <v>13136.555</v>
          </cell>
        </row>
        <row r="138">
          <cell r="B138" t="str">
            <v xml:space="preserve">E-MART 서부산점               </v>
          </cell>
          <cell r="C138">
            <v>45135.440999999999</v>
          </cell>
          <cell r="D138">
            <v>33261.576000000001</v>
          </cell>
        </row>
        <row r="139">
          <cell r="B139" t="str">
            <v>서부산점</v>
          </cell>
          <cell r="C139">
            <v>54587.72</v>
          </cell>
          <cell r="D139">
            <v>46398.131000000001</v>
          </cell>
        </row>
        <row r="140">
          <cell r="B140" t="str">
            <v xml:space="preserve">이마트 연제점                 </v>
          </cell>
          <cell r="C140">
            <v>72311.354000000007</v>
          </cell>
          <cell r="D140">
            <v>13980.525</v>
          </cell>
        </row>
        <row r="141">
          <cell r="B141" t="str">
            <v xml:space="preserve">E-MART 연제점                 </v>
          </cell>
          <cell r="D141">
            <v>31834.42</v>
          </cell>
        </row>
        <row r="142">
          <cell r="B142" t="str">
            <v>연제점</v>
          </cell>
          <cell r="C142">
            <v>0</v>
          </cell>
          <cell r="D142">
            <v>45814.945</v>
          </cell>
        </row>
        <row r="143">
          <cell r="B143" t="str">
            <v xml:space="preserve">이마트해운대점                </v>
          </cell>
          <cell r="C143">
            <v>8336.8950000000004</v>
          </cell>
          <cell r="D143">
            <v>14081.905000000001</v>
          </cell>
        </row>
        <row r="144">
          <cell r="B144" t="str">
            <v xml:space="preserve">E-MART 해운대점               </v>
          </cell>
          <cell r="C144">
            <v>44455.163</v>
          </cell>
          <cell r="D144">
            <v>28377.42</v>
          </cell>
        </row>
        <row r="145">
          <cell r="B145" t="str">
            <v>해운대점</v>
          </cell>
          <cell r="C145">
            <v>52792.058000000005</v>
          </cell>
          <cell r="D145">
            <v>42459.324999999997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0"/>
      <sheetName val="판촉비결과"/>
      <sheetName val="뚝배기수정"/>
      <sheetName val="계획대비"/>
      <sheetName val="예상"/>
      <sheetName val="1"/>
      <sheetName val="2"/>
      <sheetName val="3"/>
      <sheetName val="인건비지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월자료"/>
      <sheetName val="5월자료 (2)"/>
      <sheetName val="5월자료 (3)"/>
      <sheetName val="회계대체"/>
      <sheetName val="실적이관2"/>
      <sheetName val="5월미수"/>
      <sheetName val="5월세금서."/>
      <sheetName val="Sheet1"/>
      <sheetName val="5월미수최종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>
        <row r="2">
          <cell r="A2">
            <v>1326754</v>
          </cell>
          <cell r="B2" t="str">
            <v>용인센타</v>
          </cell>
          <cell r="C2">
            <v>113103280</v>
          </cell>
          <cell r="D2">
            <v>11310328</v>
          </cell>
          <cell r="E2">
            <v>124413608</v>
          </cell>
        </row>
        <row r="3">
          <cell r="A3">
            <v>1329810</v>
          </cell>
          <cell r="B3" t="str">
            <v>대구(DRY)</v>
          </cell>
          <cell r="C3">
            <v>66946400</v>
          </cell>
          <cell r="D3">
            <v>6694640</v>
          </cell>
          <cell r="E3">
            <v>73641040</v>
          </cell>
        </row>
        <row r="4">
          <cell r="A4">
            <v>2930556</v>
          </cell>
          <cell r="B4" t="str">
            <v>가양점</v>
          </cell>
          <cell r="C4">
            <v>47102554</v>
          </cell>
          <cell r="D4">
            <v>4710255</v>
          </cell>
          <cell r="E4">
            <v>51812809</v>
          </cell>
        </row>
        <row r="5">
          <cell r="A5">
            <v>1918904</v>
          </cell>
          <cell r="B5" t="str">
            <v>구로점</v>
          </cell>
          <cell r="C5">
            <v>37768696</v>
          </cell>
          <cell r="D5">
            <v>3776869</v>
          </cell>
          <cell r="E5">
            <v>41545565</v>
          </cell>
        </row>
        <row r="6">
          <cell r="A6">
            <v>4150429</v>
          </cell>
          <cell r="B6" t="str">
            <v>군산점</v>
          </cell>
          <cell r="C6">
            <v>37026320</v>
          </cell>
          <cell r="D6">
            <v>3702632</v>
          </cell>
          <cell r="E6">
            <v>40728952</v>
          </cell>
        </row>
        <row r="7">
          <cell r="A7">
            <v>4009822</v>
          </cell>
          <cell r="B7" t="str">
            <v>김천점</v>
          </cell>
          <cell r="C7">
            <v>15233382</v>
          </cell>
          <cell r="D7">
            <v>1523338</v>
          </cell>
          <cell r="E7">
            <v>16756720</v>
          </cell>
        </row>
        <row r="8">
          <cell r="A8">
            <v>3409027</v>
          </cell>
          <cell r="B8" t="str">
            <v>남원점</v>
          </cell>
          <cell r="C8">
            <v>13834760</v>
          </cell>
          <cell r="D8">
            <v>1383476</v>
          </cell>
          <cell r="E8">
            <v>15218236</v>
          </cell>
        </row>
        <row r="9">
          <cell r="A9">
            <v>3515030</v>
          </cell>
          <cell r="B9" t="str">
            <v>동광주점</v>
          </cell>
          <cell r="C9">
            <v>27693010</v>
          </cell>
          <cell r="D9">
            <v>2769301</v>
          </cell>
          <cell r="E9">
            <v>30462311</v>
          </cell>
        </row>
        <row r="10">
          <cell r="A10">
            <v>2923352</v>
          </cell>
          <cell r="B10" t="str">
            <v>동인천점</v>
          </cell>
          <cell r="C10">
            <v>31953670</v>
          </cell>
          <cell r="D10">
            <v>3195367</v>
          </cell>
          <cell r="E10">
            <v>35149037</v>
          </cell>
        </row>
        <row r="11">
          <cell r="A11">
            <v>3312104</v>
          </cell>
          <cell r="B11" t="str">
            <v>둔산점</v>
          </cell>
          <cell r="C11">
            <v>42594354</v>
          </cell>
          <cell r="D11">
            <v>4259435</v>
          </cell>
          <cell r="E11">
            <v>46853789</v>
          </cell>
        </row>
        <row r="12">
          <cell r="A12">
            <v>4014723</v>
          </cell>
          <cell r="B12" t="str">
            <v>만촌점</v>
          </cell>
          <cell r="C12">
            <v>29701492</v>
          </cell>
          <cell r="D12">
            <v>2970149</v>
          </cell>
          <cell r="E12">
            <v>32671641</v>
          </cell>
        </row>
        <row r="13">
          <cell r="A13">
            <v>3516405</v>
          </cell>
          <cell r="B13" t="str">
            <v>목포점</v>
          </cell>
          <cell r="C13">
            <v>32853580</v>
          </cell>
          <cell r="D13">
            <v>3285358</v>
          </cell>
          <cell r="E13">
            <v>36138938</v>
          </cell>
        </row>
        <row r="14">
          <cell r="A14">
            <v>2930135</v>
          </cell>
          <cell r="B14" t="str">
            <v>부천역사</v>
          </cell>
          <cell r="C14">
            <v>51177534</v>
          </cell>
          <cell r="D14">
            <v>5117753</v>
          </cell>
          <cell r="E14">
            <v>56295287</v>
          </cell>
        </row>
        <row r="15">
          <cell r="A15">
            <v>2921592</v>
          </cell>
          <cell r="B15" t="str">
            <v>부평점</v>
          </cell>
          <cell r="C15">
            <v>32871068</v>
          </cell>
          <cell r="D15">
            <v>3287106</v>
          </cell>
          <cell r="E15">
            <v>36158174</v>
          </cell>
        </row>
        <row r="16">
          <cell r="A16">
            <v>1329858</v>
          </cell>
          <cell r="B16" t="str">
            <v>분당점</v>
          </cell>
          <cell r="C16">
            <v>37887066</v>
          </cell>
          <cell r="D16">
            <v>3788706</v>
          </cell>
          <cell r="E16">
            <v>41675772</v>
          </cell>
        </row>
        <row r="17">
          <cell r="A17">
            <v>3012895</v>
          </cell>
          <cell r="B17" t="str">
            <v>산본점</v>
          </cell>
          <cell r="C17">
            <v>44307232</v>
          </cell>
          <cell r="D17">
            <v>4430723</v>
          </cell>
          <cell r="E17">
            <v>48737955</v>
          </cell>
        </row>
        <row r="18">
          <cell r="A18">
            <v>3517278</v>
          </cell>
          <cell r="B18" t="str">
            <v>상무점</v>
          </cell>
          <cell r="C18">
            <v>14181544</v>
          </cell>
          <cell r="D18">
            <v>1418154</v>
          </cell>
          <cell r="E18">
            <v>15599698</v>
          </cell>
        </row>
        <row r="19">
          <cell r="A19">
            <v>1818015</v>
          </cell>
          <cell r="B19" t="str">
            <v>상봉점</v>
          </cell>
          <cell r="C19">
            <v>44582230</v>
          </cell>
          <cell r="D19">
            <v>4458223</v>
          </cell>
          <cell r="E19">
            <v>49040453</v>
          </cell>
        </row>
        <row r="20">
          <cell r="A20">
            <v>4510699</v>
          </cell>
          <cell r="B20" t="str">
            <v>서부산점</v>
          </cell>
          <cell r="C20">
            <v>32505522</v>
          </cell>
          <cell r="D20">
            <v>3250552</v>
          </cell>
          <cell r="E20">
            <v>35756074</v>
          </cell>
        </row>
        <row r="21">
          <cell r="A21">
            <v>4015333</v>
          </cell>
          <cell r="B21" t="str">
            <v>성서점</v>
          </cell>
          <cell r="C21">
            <v>36064964</v>
          </cell>
          <cell r="D21">
            <v>3606496</v>
          </cell>
          <cell r="E21">
            <v>39671460</v>
          </cell>
        </row>
        <row r="22">
          <cell r="A22">
            <v>1329563</v>
          </cell>
          <cell r="B22" t="str">
            <v>성수점</v>
          </cell>
          <cell r="C22">
            <v>33352900</v>
          </cell>
          <cell r="D22">
            <v>3335290</v>
          </cell>
          <cell r="E22">
            <v>36688190</v>
          </cell>
        </row>
        <row r="23">
          <cell r="A23">
            <v>1329119</v>
          </cell>
          <cell r="B23" t="str">
            <v>수서(E)</v>
          </cell>
          <cell r="C23">
            <v>6120618</v>
          </cell>
          <cell r="D23">
            <v>612061</v>
          </cell>
          <cell r="E23">
            <v>6732679</v>
          </cell>
        </row>
        <row r="24">
          <cell r="A24">
            <v>2923613</v>
          </cell>
          <cell r="B24" t="str">
            <v>수원점</v>
          </cell>
          <cell r="C24">
            <v>30664978</v>
          </cell>
          <cell r="D24">
            <v>3066497</v>
          </cell>
          <cell r="E24">
            <v>33731475</v>
          </cell>
        </row>
        <row r="25">
          <cell r="A25">
            <v>3013191</v>
          </cell>
          <cell r="B25" t="str">
            <v>시화점</v>
          </cell>
          <cell r="C25">
            <v>28246034</v>
          </cell>
          <cell r="D25">
            <v>2824603</v>
          </cell>
          <cell r="E25">
            <v>31070637</v>
          </cell>
        </row>
        <row r="26">
          <cell r="A26">
            <v>2930379</v>
          </cell>
          <cell r="B26" t="str">
            <v>신월(E)</v>
          </cell>
          <cell r="C26">
            <v>11375654</v>
          </cell>
          <cell r="D26">
            <v>1137565</v>
          </cell>
          <cell r="E26">
            <v>12513219</v>
          </cell>
        </row>
        <row r="27">
          <cell r="A27">
            <v>3012156</v>
          </cell>
          <cell r="B27" t="str">
            <v>안산점</v>
          </cell>
          <cell r="C27">
            <v>20709308</v>
          </cell>
          <cell r="D27">
            <v>2070930</v>
          </cell>
          <cell r="E27">
            <v>22780238</v>
          </cell>
        </row>
        <row r="28">
          <cell r="A28">
            <v>3012160</v>
          </cell>
          <cell r="B28" t="str">
            <v>안양점</v>
          </cell>
          <cell r="C28">
            <v>41263186</v>
          </cell>
          <cell r="D28">
            <v>4126318</v>
          </cell>
          <cell r="E28">
            <v>45389504</v>
          </cell>
        </row>
        <row r="29">
          <cell r="A29">
            <v>4306014</v>
          </cell>
          <cell r="B29" t="str">
            <v>여수점</v>
          </cell>
          <cell r="C29">
            <v>20392592</v>
          </cell>
          <cell r="D29">
            <v>2039259</v>
          </cell>
          <cell r="E29">
            <v>22431851</v>
          </cell>
        </row>
        <row r="30">
          <cell r="A30">
            <v>3220841</v>
          </cell>
          <cell r="B30" t="str">
            <v>연제점</v>
          </cell>
          <cell r="C30">
            <v>30762381</v>
          </cell>
          <cell r="D30">
            <v>3076238</v>
          </cell>
          <cell r="E30">
            <v>33838619</v>
          </cell>
        </row>
        <row r="31">
          <cell r="A31">
            <v>3808009</v>
          </cell>
          <cell r="B31" t="str">
            <v>원주점</v>
          </cell>
          <cell r="C31">
            <v>18629750</v>
          </cell>
          <cell r="D31">
            <v>1862975</v>
          </cell>
          <cell r="E31">
            <v>20492725</v>
          </cell>
        </row>
        <row r="32">
          <cell r="A32">
            <v>4014742</v>
          </cell>
          <cell r="B32" t="str">
            <v>월배점</v>
          </cell>
          <cell r="C32">
            <v>32081766</v>
          </cell>
          <cell r="D32">
            <v>3208176</v>
          </cell>
          <cell r="E32">
            <v>35289942</v>
          </cell>
        </row>
        <row r="33">
          <cell r="A33">
            <v>1329250</v>
          </cell>
          <cell r="B33" t="str">
            <v>은평점</v>
          </cell>
          <cell r="C33">
            <v>52562668</v>
          </cell>
          <cell r="D33">
            <v>5256266</v>
          </cell>
          <cell r="E33">
            <v>57818934</v>
          </cell>
        </row>
        <row r="34">
          <cell r="A34">
            <v>3013256</v>
          </cell>
          <cell r="B34" t="str">
            <v>이천점</v>
          </cell>
          <cell r="C34">
            <v>20994724</v>
          </cell>
          <cell r="D34">
            <v>2099472</v>
          </cell>
          <cell r="E34">
            <v>23094196</v>
          </cell>
        </row>
        <row r="35">
          <cell r="A35">
            <v>2921604</v>
          </cell>
          <cell r="B35" t="str">
            <v>인천마트</v>
          </cell>
          <cell r="C35">
            <v>41057668</v>
          </cell>
          <cell r="D35">
            <v>4105766</v>
          </cell>
          <cell r="E35">
            <v>45163434</v>
          </cell>
        </row>
        <row r="36">
          <cell r="A36">
            <v>1329843</v>
          </cell>
          <cell r="B36" t="str">
            <v>일산점</v>
          </cell>
          <cell r="C36">
            <v>35614756</v>
          </cell>
          <cell r="D36">
            <v>3561475</v>
          </cell>
          <cell r="E36">
            <v>39176231</v>
          </cell>
        </row>
        <row r="37">
          <cell r="A37">
            <v>3409065</v>
          </cell>
          <cell r="B37" t="str">
            <v>전주점</v>
          </cell>
          <cell r="C37">
            <v>39711952</v>
          </cell>
          <cell r="D37">
            <v>3971195</v>
          </cell>
          <cell r="E37">
            <v>43683147</v>
          </cell>
        </row>
        <row r="38">
          <cell r="A38">
            <v>4104353</v>
          </cell>
          <cell r="B38" t="str">
            <v>제주점</v>
          </cell>
          <cell r="C38">
            <v>31001608</v>
          </cell>
          <cell r="D38">
            <v>3100160</v>
          </cell>
          <cell r="E38">
            <v>34101768</v>
          </cell>
        </row>
        <row r="39">
          <cell r="A39">
            <v>4407374</v>
          </cell>
          <cell r="B39" t="str">
            <v>진주점</v>
          </cell>
          <cell r="C39">
            <v>20804974</v>
          </cell>
          <cell r="D39">
            <v>2080497</v>
          </cell>
          <cell r="E39">
            <v>22885471</v>
          </cell>
        </row>
        <row r="40">
          <cell r="A40">
            <v>1329839</v>
          </cell>
          <cell r="B40" t="str">
            <v>창동점</v>
          </cell>
          <cell r="C40">
            <v>36594544</v>
          </cell>
          <cell r="D40">
            <v>3659454</v>
          </cell>
          <cell r="E40">
            <v>40253998</v>
          </cell>
        </row>
        <row r="41">
          <cell r="A41">
            <v>4604750</v>
          </cell>
          <cell r="B41" t="str">
            <v>천안점</v>
          </cell>
          <cell r="C41">
            <v>30692212</v>
          </cell>
          <cell r="D41">
            <v>3069221</v>
          </cell>
          <cell r="E41">
            <v>33761433</v>
          </cell>
        </row>
        <row r="42">
          <cell r="A42">
            <v>1508194</v>
          </cell>
          <cell r="B42" t="str">
            <v>천호점</v>
          </cell>
          <cell r="C42">
            <v>35799707</v>
          </cell>
          <cell r="D42">
            <v>3579970</v>
          </cell>
          <cell r="E42">
            <v>39379677</v>
          </cell>
        </row>
        <row r="43">
          <cell r="A43">
            <v>4603786</v>
          </cell>
          <cell r="B43" t="str">
            <v>청주점</v>
          </cell>
          <cell r="C43">
            <v>19766218</v>
          </cell>
          <cell r="D43">
            <v>1976621</v>
          </cell>
          <cell r="E43">
            <v>21742839</v>
          </cell>
        </row>
        <row r="44">
          <cell r="A44">
            <v>4604872</v>
          </cell>
          <cell r="B44" t="str">
            <v>충주점</v>
          </cell>
          <cell r="C44">
            <v>16431913</v>
          </cell>
          <cell r="D44">
            <v>1643191</v>
          </cell>
          <cell r="E44">
            <v>18075104</v>
          </cell>
        </row>
        <row r="45">
          <cell r="A45">
            <v>4014850</v>
          </cell>
          <cell r="B45" t="str">
            <v>칠성점</v>
          </cell>
          <cell r="C45">
            <v>20214607</v>
          </cell>
          <cell r="D45">
            <v>2021460</v>
          </cell>
          <cell r="E45">
            <v>22236067</v>
          </cell>
        </row>
        <row r="46">
          <cell r="A46">
            <v>2923665</v>
          </cell>
          <cell r="B46" t="str">
            <v>평택점</v>
          </cell>
          <cell r="C46">
            <v>23321000</v>
          </cell>
          <cell r="D46">
            <v>2332100</v>
          </cell>
          <cell r="E46">
            <v>25653100</v>
          </cell>
        </row>
        <row r="47">
          <cell r="A47">
            <v>4014831</v>
          </cell>
          <cell r="B47" t="str">
            <v>포항점</v>
          </cell>
          <cell r="C47">
            <v>19899638</v>
          </cell>
          <cell r="D47">
            <v>1989963</v>
          </cell>
          <cell r="E47">
            <v>21889601</v>
          </cell>
        </row>
        <row r="48">
          <cell r="A48">
            <v>4513690</v>
          </cell>
          <cell r="B48" t="str">
            <v>해운대점</v>
          </cell>
          <cell r="C48">
            <v>28287654</v>
          </cell>
          <cell r="D48">
            <v>2828765</v>
          </cell>
          <cell r="E48">
            <v>31116419</v>
          </cell>
        </row>
      </sheetData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3시장대리점"/>
      <sheetName val="편집1"/>
      <sheetName val="서울"/>
      <sheetName val="중부"/>
      <sheetName val="경북"/>
      <sheetName val="경남"/>
    </sheetNames>
    <sheetDataSet>
      <sheetData sheetId="0"/>
      <sheetData sheetId="1"/>
      <sheetData sheetId="2"/>
      <sheetData sheetId="3" refreshError="1">
        <row r="2">
          <cell r="A2">
            <v>2906991</v>
          </cell>
          <cell r="B2" t="str">
            <v xml:space="preserve">한성식품                      </v>
          </cell>
          <cell r="C2">
            <v>-5.0000000000000001E-3</v>
          </cell>
        </row>
        <row r="3">
          <cell r="A3">
            <v>2907543</v>
          </cell>
          <cell r="B3" t="str">
            <v xml:space="preserve">영민상사                      </v>
          </cell>
          <cell r="C3">
            <v>25999.998</v>
          </cell>
        </row>
        <row r="4">
          <cell r="A4">
            <v>2908452</v>
          </cell>
          <cell r="B4" t="str">
            <v xml:space="preserve">삼계유통                      </v>
          </cell>
          <cell r="C4">
            <v>0</v>
          </cell>
        </row>
        <row r="5">
          <cell r="A5">
            <v>2909004</v>
          </cell>
          <cell r="B5" t="str">
            <v xml:space="preserve">경기상사                      </v>
          </cell>
          <cell r="C5">
            <v>3110.373</v>
          </cell>
        </row>
        <row r="6">
          <cell r="A6">
            <v>2915342</v>
          </cell>
          <cell r="B6" t="str">
            <v xml:space="preserve">대주상사                      </v>
          </cell>
          <cell r="C6">
            <v>-4.1000000000000002E-2</v>
          </cell>
        </row>
        <row r="7">
          <cell r="A7">
            <v>2919125</v>
          </cell>
          <cell r="B7" t="str">
            <v xml:space="preserve">영원상사                      </v>
          </cell>
          <cell r="C7">
            <v>14035.539000000001</v>
          </cell>
        </row>
        <row r="8">
          <cell r="A8">
            <v>2919546</v>
          </cell>
          <cell r="B8" t="str">
            <v xml:space="preserve">경기유통                      </v>
          </cell>
          <cell r="C8">
            <v>-2E-3</v>
          </cell>
        </row>
        <row r="9">
          <cell r="A9">
            <v>2920791</v>
          </cell>
          <cell r="B9" t="str">
            <v xml:space="preserve">광성상사                      </v>
          </cell>
          <cell r="C9">
            <v>10000</v>
          </cell>
        </row>
        <row r="10">
          <cell r="A10">
            <v>2920911</v>
          </cell>
          <cell r="B10" t="str">
            <v xml:space="preserve">영화상사                      </v>
          </cell>
          <cell r="C10">
            <v>0</v>
          </cell>
        </row>
        <row r="11">
          <cell r="A11">
            <v>2921381</v>
          </cell>
          <cell r="B11" t="str">
            <v xml:space="preserve">청정원상사                    </v>
          </cell>
          <cell r="C11">
            <v>16851.984</v>
          </cell>
        </row>
        <row r="12">
          <cell r="A12">
            <v>2921408</v>
          </cell>
          <cell r="B12" t="str">
            <v xml:space="preserve">주안상사                      </v>
          </cell>
          <cell r="C12">
            <v>32100</v>
          </cell>
        </row>
        <row r="13">
          <cell r="A13">
            <v>2921470</v>
          </cell>
          <cell r="B13" t="str">
            <v xml:space="preserve">부평상사                      </v>
          </cell>
          <cell r="C13">
            <v>63667.180999999997</v>
          </cell>
        </row>
        <row r="14">
          <cell r="A14">
            <v>2921568</v>
          </cell>
          <cell r="B14" t="str">
            <v xml:space="preserve">대상상사                      </v>
          </cell>
          <cell r="C14">
            <v>42000</v>
          </cell>
        </row>
        <row r="15">
          <cell r="A15">
            <v>2921764</v>
          </cell>
          <cell r="B15" t="str">
            <v xml:space="preserve">연수상사                      </v>
          </cell>
          <cell r="C15">
            <v>5551.5190000000002</v>
          </cell>
        </row>
        <row r="16">
          <cell r="A16">
            <v>2921783</v>
          </cell>
          <cell r="B16" t="str">
            <v xml:space="preserve">미원식품                      </v>
          </cell>
          <cell r="C16">
            <v>38000</v>
          </cell>
        </row>
        <row r="17">
          <cell r="A17">
            <v>2922986</v>
          </cell>
          <cell r="B17" t="str">
            <v xml:space="preserve">미원식품                      </v>
          </cell>
          <cell r="C17">
            <v>7062.9279999999999</v>
          </cell>
        </row>
        <row r="18">
          <cell r="A18">
            <v>2923034</v>
          </cell>
          <cell r="B18" t="str">
            <v xml:space="preserve">연수유통                      </v>
          </cell>
          <cell r="C18">
            <v>61435.661</v>
          </cell>
        </row>
        <row r="19">
          <cell r="A19">
            <v>2930013</v>
          </cell>
          <cell r="B19" t="str">
            <v xml:space="preserve">김포상사                      </v>
          </cell>
          <cell r="C19">
            <v>-18.178000000000001</v>
          </cell>
        </row>
        <row r="20">
          <cell r="A20">
            <v>2930383</v>
          </cell>
          <cell r="B20" t="str">
            <v xml:space="preserve">대주유통                      </v>
          </cell>
          <cell r="C20">
            <v>-0.62</v>
          </cell>
        </row>
        <row r="21">
          <cell r="A21">
            <v>3003032</v>
          </cell>
          <cell r="B21" t="str">
            <v xml:space="preserve">보람상사                      </v>
          </cell>
          <cell r="C21">
            <v>21181.714</v>
          </cell>
        </row>
        <row r="22">
          <cell r="A22">
            <v>3003644</v>
          </cell>
          <cell r="B22" t="str">
            <v xml:space="preserve">미원상사（수원）              </v>
          </cell>
          <cell r="C22">
            <v>-10.816000000000001</v>
          </cell>
        </row>
        <row r="23">
          <cell r="A23">
            <v>3004010</v>
          </cell>
          <cell r="B23" t="str">
            <v xml:space="preserve">여주미원상사                  </v>
          </cell>
          <cell r="C23">
            <v>8046.1790000000001</v>
          </cell>
        </row>
        <row r="24">
          <cell r="A24">
            <v>3004361</v>
          </cell>
          <cell r="B24" t="str">
            <v xml:space="preserve">화영상사                      </v>
          </cell>
          <cell r="C24">
            <v>1779.671</v>
          </cell>
        </row>
        <row r="25">
          <cell r="A25">
            <v>3004380</v>
          </cell>
          <cell r="B25" t="str">
            <v xml:space="preserve">동신상사                      </v>
          </cell>
          <cell r="C25">
            <v>37745.091</v>
          </cell>
        </row>
        <row r="26">
          <cell r="A26">
            <v>3004885</v>
          </cell>
          <cell r="B26" t="str">
            <v xml:space="preserve">순창상사                      </v>
          </cell>
          <cell r="C26">
            <v>-7.3079999999999998</v>
          </cell>
        </row>
        <row r="27">
          <cell r="A27">
            <v>3005105</v>
          </cell>
          <cell r="B27" t="str">
            <v xml:space="preserve">（용인）미원상사              </v>
          </cell>
          <cell r="C27">
            <v>41704.156000000003</v>
          </cell>
        </row>
        <row r="28">
          <cell r="A28">
            <v>3005952</v>
          </cell>
          <cell r="B28" t="str">
            <v xml:space="preserve">삼화                          </v>
          </cell>
          <cell r="C28">
            <v>6368.317</v>
          </cell>
        </row>
        <row r="29">
          <cell r="A29">
            <v>3006959</v>
          </cell>
          <cell r="B29" t="str">
            <v xml:space="preserve">미원　안산대리점              </v>
          </cell>
          <cell r="C29">
            <v>28520.187999999998</v>
          </cell>
        </row>
        <row r="30">
          <cell r="A30">
            <v>3007358</v>
          </cell>
          <cell r="B30" t="str">
            <v xml:space="preserve">영동상사                      </v>
          </cell>
          <cell r="C30">
            <v>-7.585</v>
          </cell>
        </row>
        <row r="31">
          <cell r="A31">
            <v>3008233</v>
          </cell>
          <cell r="B31" t="str">
            <v xml:space="preserve">대상유통                      </v>
          </cell>
          <cell r="C31">
            <v>-230.5</v>
          </cell>
        </row>
        <row r="32">
          <cell r="A32">
            <v>3010288</v>
          </cell>
          <cell r="B32" t="str">
            <v xml:space="preserve">안양미원쎈타                  </v>
          </cell>
          <cell r="C32">
            <v>1671.921</v>
          </cell>
        </row>
        <row r="33">
          <cell r="A33">
            <v>3012118</v>
          </cell>
          <cell r="B33" t="str">
            <v xml:space="preserve">순창식품                      </v>
          </cell>
          <cell r="C33">
            <v>-217.59299999999999</v>
          </cell>
        </row>
        <row r="34">
          <cell r="A34">
            <v>3012577</v>
          </cell>
          <cell r="B34" t="str">
            <v xml:space="preserve">미원상사(오산)                </v>
          </cell>
          <cell r="C34">
            <v>732.29</v>
          </cell>
        </row>
        <row r="35">
          <cell r="A35">
            <v>3012716</v>
          </cell>
          <cell r="B35" t="str">
            <v xml:space="preserve">소망상사                      </v>
          </cell>
          <cell r="C35">
            <v>14389.962</v>
          </cell>
        </row>
        <row r="36">
          <cell r="A36">
            <v>3012964</v>
          </cell>
          <cell r="B36" t="str">
            <v xml:space="preserve">성은상사                      </v>
          </cell>
          <cell r="C36">
            <v>27481.300999999999</v>
          </cell>
        </row>
        <row r="37">
          <cell r="A37">
            <v>3013012</v>
          </cell>
          <cell r="B37" t="str">
            <v xml:space="preserve">고평상사                      </v>
          </cell>
          <cell r="C37">
            <v>-121.498</v>
          </cell>
        </row>
        <row r="38">
          <cell r="A38">
            <v>3013148</v>
          </cell>
          <cell r="B38" t="str">
            <v xml:space="preserve">축협군포직매장                </v>
          </cell>
          <cell r="C38">
            <v>8920.6620000000003</v>
          </cell>
        </row>
        <row r="39">
          <cell r="A39">
            <v>3013624</v>
          </cell>
          <cell r="B39" t="str">
            <v xml:space="preserve">수영상사                      </v>
          </cell>
          <cell r="C39">
            <v>14792.121999999999</v>
          </cell>
        </row>
        <row r="40">
          <cell r="A40">
            <v>3301127</v>
          </cell>
          <cell r="B40" t="str">
            <v xml:space="preserve">대전대성상사                  </v>
          </cell>
          <cell r="C40">
            <v>57355.623</v>
          </cell>
        </row>
        <row r="41">
          <cell r="A41">
            <v>3304078</v>
          </cell>
          <cell r="B41" t="str">
            <v xml:space="preserve">금강상사                      </v>
          </cell>
          <cell r="C41">
            <v>0</v>
          </cell>
        </row>
        <row r="42">
          <cell r="A42">
            <v>3305513</v>
          </cell>
          <cell r="B42" t="str">
            <v xml:space="preserve">민속상사                      </v>
          </cell>
          <cell r="C42">
            <v>53740.042999999998</v>
          </cell>
        </row>
        <row r="43">
          <cell r="A43">
            <v>3305649</v>
          </cell>
          <cell r="B43" t="str">
            <v xml:space="preserve">강경미원상사                  </v>
          </cell>
          <cell r="C43">
            <v>48974.25</v>
          </cell>
        </row>
        <row r="44">
          <cell r="A44">
            <v>3306366</v>
          </cell>
          <cell r="B44" t="str">
            <v xml:space="preserve">미원보영상사                  </v>
          </cell>
          <cell r="C44">
            <v>-41.58</v>
          </cell>
        </row>
        <row r="45">
          <cell r="A45">
            <v>3307260</v>
          </cell>
          <cell r="B45" t="str">
            <v xml:space="preserve">기형통상                      </v>
          </cell>
          <cell r="C45">
            <v>0</v>
          </cell>
        </row>
        <row r="46">
          <cell r="A46">
            <v>3308743</v>
          </cell>
          <cell r="B46" t="str">
            <v xml:space="preserve">금산미원상사                  </v>
          </cell>
          <cell r="C46">
            <v>79493.910999999993</v>
          </cell>
        </row>
        <row r="47">
          <cell r="A47">
            <v>3309348</v>
          </cell>
          <cell r="B47" t="str">
            <v xml:space="preserve">대원상사                      </v>
          </cell>
          <cell r="C47">
            <v>2605.7020000000002</v>
          </cell>
        </row>
        <row r="48">
          <cell r="A48">
            <v>3309418</v>
          </cell>
          <cell r="B48" t="str">
            <v xml:space="preserve">신호상사                      </v>
          </cell>
          <cell r="C48">
            <v>0</v>
          </cell>
        </row>
        <row r="49">
          <cell r="A49">
            <v>3309862</v>
          </cell>
          <cell r="B49" t="str">
            <v xml:space="preserve">도영상사                      </v>
          </cell>
          <cell r="C49">
            <v>0</v>
          </cell>
        </row>
        <row r="50">
          <cell r="A50">
            <v>3309877</v>
          </cell>
          <cell r="B50" t="str">
            <v xml:space="preserve">조은상사                      </v>
          </cell>
          <cell r="C50">
            <v>0</v>
          </cell>
        </row>
        <row r="51">
          <cell r="A51">
            <v>3310218</v>
          </cell>
          <cell r="B51" t="str">
            <v xml:space="preserve">일신식품                      </v>
          </cell>
          <cell r="C51">
            <v>17851.627</v>
          </cell>
        </row>
        <row r="52">
          <cell r="A52">
            <v>3310237</v>
          </cell>
          <cell r="B52" t="str">
            <v xml:space="preserve">청고식품                      </v>
          </cell>
          <cell r="C52">
            <v>20343.22</v>
          </cell>
        </row>
        <row r="53">
          <cell r="A53">
            <v>3310502</v>
          </cell>
          <cell r="B53" t="str">
            <v xml:space="preserve">참빛유통                      </v>
          </cell>
          <cell r="C53">
            <v>0</v>
          </cell>
        </row>
        <row r="54">
          <cell r="A54">
            <v>3310662</v>
          </cell>
          <cell r="B54" t="str">
            <v xml:space="preserve">대상위탁상사                  </v>
          </cell>
          <cell r="C54">
            <v>4308.4229999999998</v>
          </cell>
        </row>
        <row r="55">
          <cell r="A55">
            <v>3310713</v>
          </cell>
          <cell r="B55" t="str">
            <v xml:space="preserve">초원상사                      </v>
          </cell>
          <cell r="C55">
            <v>5999.9459999999999</v>
          </cell>
        </row>
        <row r="56">
          <cell r="A56">
            <v>3310976</v>
          </cell>
          <cell r="B56" t="str">
            <v xml:space="preserve">영인상사                      </v>
          </cell>
          <cell r="C56">
            <v>16479.919000000002</v>
          </cell>
        </row>
        <row r="57">
          <cell r="A57">
            <v>3311095</v>
          </cell>
          <cell r="B57" t="str">
            <v xml:space="preserve">대전유통                      </v>
          </cell>
          <cell r="C57">
            <v>23884.562000000002</v>
          </cell>
        </row>
        <row r="58">
          <cell r="A58">
            <v>3311183</v>
          </cell>
          <cell r="B58" t="str">
            <v xml:space="preserve">미원상사                      </v>
          </cell>
          <cell r="C58">
            <v>0</v>
          </cell>
        </row>
        <row r="59">
          <cell r="A59">
            <v>3311198</v>
          </cell>
          <cell r="B59" t="str">
            <v xml:space="preserve">계룡상사                      </v>
          </cell>
          <cell r="C59">
            <v>47298.557000000001</v>
          </cell>
        </row>
        <row r="60">
          <cell r="A60">
            <v>3311303</v>
          </cell>
          <cell r="B60" t="str">
            <v xml:space="preserve">대상위탁상사                  </v>
          </cell>
          <cell r="C60">
            <v>213.57599999999999</v>
          </cell>
        </row>
        <row r="61">
          <cell r="A61">
            <v>3802502</v>
          </cell>
          <cell r="B61" t="str">
            <v xml:space="preserve">춘천맛나상사                  </v>
          </cell>
          <cell r="C61">
            <v>0</v>
          </cell>
        </row>
        <row r="62">
          <cell r="A62">
            <v>3802976</v>
          </cell>
          <cell r="B62" t="str">
            <v xml:space="preserve">순창상사                      </v>
          </cell>
          <cell r="C62">
            <v>0</v>
          </cell>
        </row>
        <row r="63">
          <cell r="A63">
            <v>3803200</v>
          </cell>
          <cell r="B63" t="str">
            <v xml:space="preserve">한양상사                      </v>
          </cell>
          <cell r="C63">
            <v>0</v>
          </cell>
        </row>
        <row r="64">
          <cell r="A64">
            <v>3803935</v>
          </cell>
          <cell r="B64" t="str">
            <v xml:space="preserve">미원상사（홍천）              </v>
          </cell>
          <cell r="C64">
            <v>0</v>
          </cell>
        </row>
        <row r="65">
          <cell r="A65">
            <v>3805173</v>
          </cell>
          <cell r="B65" t="str">
            <v xml:space="preserve">해태센타                      </v>
          </cell>
          <cell r="C65">
            <v>0</v>
          </cell>
        </row>
        <row r="66">
          <cell r="A66">
            <v>3805261</v>
          </cell>
          <cell r="B66" t="str">
            <v xml:space="preserve">미원냉동                      </v>
          </cell>
          <cell r="C66">
            <v>0</v>
          </cell>
        </row>
        <row r="67">
          <cell r="A67">
            <v>3806988</v>
          </cell>
          <cell r="B67" t="str">
            <v xml:space="preserve">제천미원상사                  </v>
          </cell>
          <cell r="C67">
            <v>34850.947</v>
          </cell>
        </row>
        <row r="68">
          <cell r="A68">
            <v>3807040</v>
          </cell>
          <cell r="B68" t="str">
            <v xml:space="preserve">홍천순창상사                  </v>
          </cell>
          <cell r="C68">
            <v>0</v>
          </cell>
        </row>
        <row r="69">
          <cell r="A69">
            <v>3808224</v>
          </cell>
          <cell r="B69" t="str">
            <v xml:space="preserve">연수식품유통                  </v>
          </cell>
          <cell r="C69">
            <v>66519.198999999993</v>
          </cell>
        </row>
        <row r="70">
          <cell r="A70">
            <v>3810002</v>
          </cell>
          <cell r="B70" t="str">
            <v xml:space="preserve">곰표상사                      </v>
          </cell>
          <cell r="C70">
            <v>19280.91</v>
          </cell>
        </row>
        <row r="71">
          <cell r="A71">
            <v>3900524</v>
          </cell>
          <cell r="B71" t="str">
            <v xml:space="preserve">온양미원상사                  </v>
          </cell>
          <cell r="C71">
            <v>0</v>
          </cell>
        </row>
        <row r="72">
          <cell r="A72">
            <v>3900735</v>
          </cell>
          <cell r="B72" t="str">
            <v xml:space="preserve">대승상사                      </v>
          </cell>
          <cell r="C72">
            <v>18556.574000000001</v>
          </cell>
        </row>
        <row r="73">
          <cell r="A73">
            <v>3902406</v>
          </cell>
          <cell r="B73" t="str">
            <v xml:space="preserve">청정원천안대리점              </v>
          </cell>
          <cell r="C73">
            <v>36739.936000000002</v>
          </cell>
        </row>
        <row r="74">
          <cell r="A74">
            <v>3905969</v>
          </cell>
          <cell r="B74" t="str">
            <v xml:space="preserve">누리상사                      </v>
          </cell>
          <cell r="C74">
            <v>-593.86500000000001</v>
          </cell>
        </row>
        <row r="75">
          <cell r="A75">
            <v>3906354</v>
          </cell>
          <cell r="B75" t="str">
            <v xml:space="preserve">예산미원직영대리점            </v>
          </cell>
          <cell r="C75">
            <v>0</v>
          </cell>
        </row>
        <row r="76">
          <cell r="A76">
            <v>3906737</v>
          </cell>
          <cell r="B76" t="str">
            <v xml:space="preserve">천안미원대리점                </v>
          </cell>
          <cell r="C76">
            <v>14766.852999999999</v>
          </cell>
        </row>
        <row r="77">
          <cell r="A77">
            <v>3906789</v>
          </cell>
          <cell r="B77" t="str">
            <v xml:space="preserve">민성상사                      </v>
          </cell>
          <cell r="C77">
            <v>27062.807000000001</v>
          </cell>
        </row>
        <row r="78">
          <cell r="A78">
            <v>3907631</v>
          </cell>
          <cell r="B78" t="str">
            <v xml:space="preserve">서연상사                      </v>
          </cell>
          <cell r="C78">
            <v>2000</v>
          </cell>
        </row>
        <row r="79">
          <cell r="A79">
            <v>3907841</v>
          </cell>
          <cell r="B79" t="str">
            <v xml:space="preserve">서산미원상사                  </v>
          </cell>
          <cell r="C79">
            <v>-5.016</v>
          </cell>
        </row>
        <row r="80">
          <cell r="A80">
            <v>3907894</v>
          </cell>
          <cell r="B80" t="str">
            <v xml:space="preserve">서천미원상사                  </v>
          </cell>
          <cell r="C80">
            <v>34038.247000000003</v>
          </cell>
        </row>
        <row r="81">
          <cell r="A81">
            <v>3908044</v>
          </cell>
          <cell r="B81" t="str">
            <v xml:space="preserve">대원상사                      </v>
          </cell>
          <cell r="C81">
            <v>1E-3</v>
          </cell>
        </row>
        <row r="82">
          <cell r="A82">
            <v>3908114</v>
          </cell>
          <cell r="B82" t="str">
            <v xml:space="preserve">서천위탁대리점                </v>
          </cell>
          <cell r="C82">
            <v>-145.50899999999999</v>
          </cell>
        </row>
        <row r="83">
          <cell r="A83">
            <v>3908133</v>
          </cell>
          <cell r="B83" t="str">
            <v xml:space="preserve">청정원농,축전문위탁대리점     </v>
          </cell>
          <cell r="C83">
            <v>0</v>
          </cell>
        </row>
        <row r="84">
          <cell r="A84">
            <v>3908185</v>
          </cell>
          <cell r="B84" t="str">
            <v xml:space="preserve">대영상사                      </v>
          </cell>
          <cell r="C84">
            <v>36114.334999999999</v>
          </cell>
        </row>
        <row r="85">
          <cell r="A85">
            <v>3908236</v>
          </cell>
          <cell r="B85" t="str">
            <v xml:space="preserve">청정원                        </v>
          </cell>
          <cell r="C85">
            <v>0</v>
          </cell>
        </row>
        <row r="86">
          <cell r="A86">
            <v>3908293</v>
          </cell>
          <cell r="B86" t="str">
            <v xml:space="preserve">대상상사                      </v>
          </cell>
          <cell r="C86">
            <v>23942.7</v>
          </cell>
        </row>
        <row r="87">
          <cell r="A87">
            <v>4600733</v>
          </cell>
          <cell r="B87" t="str">
            <v xml:space="preserve">믿음상회                      </v>
          </cell>
          <cell r="C87">
            <v>56266.029000000002</v>
          </cell>
        </row>
        <row r="88">
          <cell r="A88">
            <v>4601618</v>
          </cell>
          <cell r="B88" t="str">
            <v xml:space="preserve">태신상사                      </v>
          </cell>
          <cell r="C88">
            <v>83555.123000000007</v>
          </cell>
        </row>
        <row r="89">
          <cell r="A89">
            <v>4603188</v>
          </cell>
          <cell r="B89" t="str">
            <v xml:space="preserve">로얄식품                      </v>
          </cell>
          <cell r="C89">
            <v>10606.023999999999</v>
          </cell>
        </row>
        <row r="90">
          <cell r="A90">
            <v>4603370</v>
          </cell>
          <cell r="B90" t="str">
            <v xml:space="preserve">대상상사                      </v>
          </cell>
          <cell r="C90">
            <v>25306.927</v>
          </cell>
        </row>
        <row r="91">
          <cell r="A91">
            <v>4603420</v>
          </cell>
          <cell r="B91" t="str">
            <v xml:space="preserve">청정원대리점                  </v>
          </cell>
          <cell r="C91">
            <v>5953.2209999999995</v>
          </cell>
        </row>
        <row r="92">
          <cell r="A92">
            <v>4603683</v>
          </cell>
          <cell r="B92" t="str">
            <v xml:space="preserve">효신상사                      </v>
          </cell>
          <cell r="C92">
            <v>4253.68</v>
          </cell>
        </row>
        <row r="93">
          <cell r="A93">
            <v>4604078</v>
          </cell>
          <cell r="B93" t="str">
            <v xml:space="preserve">청정원상사                    </v>
          </cell>
          <cell r="C93">
            <v>7127.4809999999998</v>
          </cell>
        </row>
        <row r="94">
          <cell r="A94">
            <v>4604288</v>
          </cell>
          <cell r="B94" t="str">
            <v xml:space="preserve">대성상사                      </v>
          </cell>
          <cell r="C94">
            <v>6060.1809999999996</v>
          </cell>
        </row>
        <row r="95">
          <cell r="A95">
            <v>4604293</v>
          </cell>
          <cell r="B95" t="str">
            <v xml:space="preserve">대림농산                      </v>
          </cell>
          <cell r="C95">
            <v>0</v>
          </cell>
        </row>
        <row r="96">
          <cell r="A96">
            <v>4604305</v>
          </cell>
          <cell r="B96" t="str">
            <v xml:space="preserve">청정원상사                    </v>
          </cell>
          <cell r="C96">
            <v>14849.456</v>
          </cell>
        </row>
        <row r="97">
          <cell r="A97">
            <v>7510134</v>
          </cell>
          <cell r="B97" t="str">
            <v xml:space="preserve">미도상사                      </v>
          </cell>
          <cell r="C97">
            <v>-5.5659999999999998</v>
          </cell>
        </row>
        <row r="98">
          <cell r="A98">
            <v>30221100</v>
          </cell>
          <cell r="B98" t="str">
            <v xml:space="preserve">인천지점                      </v>
          </cell>
          <cell r="C98">
            <v>305760.8</v>
          </cell>
        </row>
        <row r="99">
          <cell r="A99">
            <v>30221100</v>
          </cell>
          <cell r="B99" t="str">
            <v xml:space="preserve">인천지점                      </v>
          </cell>
          <cell r="C99">
            <v>305760.8</v>
          </cell>
        </row>
        <row r="100">
          <cell r="A100">
            <v>30223100</v>
          </cell>
          <cell r="B100" t="str">
            <v xml:space="preserve">안양지점                      </v>
          </cell>
          <cell r="C100">
            <v>94794.392999999996</v>
          </cell>
        </row>
        <row r="101">
          <cell r="A101">
            <v>30223100</v>
          </cell>
          <cell r="B101" t="str">
            <v xml:space="preserve">안양지점                      </v>
          </cell>
          <cell r="C101">
            <v>94794.392999999996</v>
          </cell>
        </row>
        <row r="102">
          <cell r="A102">
            <v>30224100</v>
          </cell>
          <cell r="B102" t="str">
            <v xml:space="preserve">수원지점                      </v>
          </cell>
          <cell r="C102">
            <v>131973.85200000001</v>
          </cell>
        </row>
        <row r="103">
          <cell r="A103">
            <v>30224100</v>
          </cell>
          <cell r="B103" t="str">
            <v xml:space="preserve">수원지점                      </v>
          </cell>
          <cell r="C103">
            <v>131973.85200000001</v>
          </cell>
        </row>
        <row r="104">
          <cell r="A104">
            <v>30225100</v>
          </cell>
          <cell r="B104" t="str">
            <v xml:space="preserve">대전지점                      </v>
          </cell>
          <cell r="C104">
            <v>378507.77899999998</v>
          </cell>
        </row>
        <row r="105">
          <cell r="A105">
            <v>30225100</v>
          </cell>
          <cell r="B105" t="str">
            <v xml:space="preserve">대전지점                      </v>
          </cell>
          <cell r="C105">
            <v>378507.77899999998</v>
          </cell>
        </row>
        <row r="106">
          <cell r="A106">
            <v>30226100</v>
          </cell>
          <cell r="B106" t="str">
            <v xml:space="preserve">청주지점                      </v>
          </cell>
          <cell r="C106">
            <v>265484.91100000002</v>
          </cell>
        </row>
        <row r="107">
          <cell r="A107">
            <v>30226100</v>
          </cell>
          <cell r="B107" t="str">
            <v xml:space="preserve">청주지점                      </v>
          </cell>
          <cell r="C107">
            <v>265484.91100000002</v>
          </cell>
        </row>
        <row r="108">
          <cell r="A108">
            <v>30227100</v>
          </cell>
          <cell r="B108" t="str">
            <v xml:space="preserve">홍성지점                      </v>
          </cell>
          <cell r="C108">
            <v>140970.274</v>
          </cell>
        </row>
        <row r="109">
          <cell r="A109">
            <v>30227100</v>
          </cell>
          <cell r="B109" t="str">
            <v xml:space="preserve">홍성지점                      </v>
          </cell>
          <cell r="C109">
            <v>140970.274</v>
          </cell>
        </row>
      </sheetData>
      <sheetData sheetId="4" refreshError="1">
        <row r="2">
          <cell r="A2">
            <v>3712487</v>
          </cell>
          <cell r="B2" t="str">
            <v xml:space="preserve">서부상사（대구）              </v>
          </cell>
          <cell r="C2">
            <v>-2017.2940000000001</v>
          </cell>
        </row>
        <row r="3">
          <cell r="A3">
            <v>3713680</v>
          </cell>
          <cell r="B3" t="str">
            <v xml:space="preserve">달서상사（대구）              </v>
          </cell>
          <cell r="C3">
            <v>-632.16399999999999</v>
          </cell>
        </row>
        <row r="4">
          <cell r="A4">
            <v>3713848</v>
          </cell>
          <cell r="B4" t="str">
            <v xml:space="preserve">대길상사（대구）              </v>
          </cell>
          <cell r="C4">
            <v>0</v>
          </cell>
        </row>
        <row r="5">
          <cell r="A5">
            <v>3716873</v>
          </cell>
          <cell r="B5" t="str">
            <v xml:space="preserve">대현상사（대구）              </v>
          </cell>
          <cell r="C5">
            <v>-333.86099999999999</v>
          </cell>
        </row>
        <row r="6">
          <cell r="A6">
            <v>3717272</v>
          </cell>
          <cell r="B6" t="str">
            <v xml:space="preserve">구미　미원상사                </v>
          </cell>
          <cell r="C6">
            <v>74010.620999999999</v>
          </cell>
        </row>
        <row r="7">
          <cell r="A7">
            <v>4002819</v>
          </cell>
          <cell r="B7" t="str">
            <v xml:space="preserve">포항화영상사                  </v>
          </cell>
          <cell r="C7">
            <v>1028.836</v>
          </cell>
        </row>
        <row r="8">
          <cell r="A8">
            <v>4003624</v>
          </cell>
          <cell r="B8" t="str">
            <v xml:space="preserve">미원식품                      </v>
          </cell>
          <cell r="C8">
            <v>31785.599999999999</v>
          </cell>
        </row>
        <row r="9">
          <cell r="A9">
            <v>4004150</v>
          </cell>
          <cell r="B9" t="str">
            <v xml:space="preserve">울산화영상사                  </v>
          </cell>
          <cell r="C9">
            <v>0</v>
          </cell>
        </row>
        <row r="10">
          <cell r="A10">
            <v>4005123</v>
          </cell>
          <cell r="B10" t="str">
            <v xml:space="preserve">미원동구상사                  </v>
          </cell>
          <cell r="C10">
            <v>29107.657999999999</v>
          </cell>
        </row>
        <row r="11">
          <cell r="A11">
            <v>4005932</v>
          </cell>
          <cell r="B11" t="str">
            <v xml:space="preserve">백영상회（경주）              </v>
          </cell>
          <cell r="C11">
            <v>9963.5120000000006</v>
          </cell>
        </row>
        <row r="12">
          <cell r="A12">
            <v>4006046</v>
          </cell>
          <cell r="B12" t="str">
            <v xml:space="preserve">경북상사                      </v>
          </cell>
          <cell r="C12">
            <v>15414.616</v>
          </cell>
        </row>
        <row r="13">
          <cell r="A13">
            <v>4006331</v>
          </cell>
          <cell r="B13" t="str">
            <v xml:space="preserve">미래상사（경주）              </v>
          </cell>
          <cell r="C13">
            <v>25258.319</v>
          </cell>
        </row>
        <row r="14">
          <cell r="A14">
            <v>4009258</v>
          </cell>
          <cell r="B14" t="str">
            <v xml:space="preserve">수성특약점                    </v>
          </cell>
          <cell r="C14">
            <v>0</v>
          </cell>
        </row>
        <row r="15">
          <cell r="A15">
            <v>4009384</v>
          </cell>
          <cell r="B15" t="str">
            <v xml:space="preserve">한솔상사                      </v>
          </cell>
          <cell r="C15">
            <v>26386.045999999998</v>
          </cell>
        </row>
        <row r="16">
          <cell r="A16">
            <v>4009401</v>
          </cell>
          <cell r="B16" t="str">
            <v xml:space="preserve">대동청정원상사                </v>
          </cell>
          <cell r="C16">
            <v>-43.866</v>
          </cell>
        </row>
        <row r="17">
          <cell r="A17">
            <v>4009698</v>
          </cell>
          <cell r="B17" t="str">
            <v xml:space="preserve">청정원미원상사２              </v>
          </cell>
          <cell r="C17">
            <v>11040.297</v>
          </cell>
        </row>
        <row r="18">
          <cell r="A18">
            <v>4009944</v>
          </cell>
          <cell r="B18" t="str">
            <v xml:space="preserve">하나상사                      </v>
          </cell>
          <cell r="C18">
            <v>30662.273000000001</v>
          </cell>
        </row>
        <row r="19">
          <cell r="A19">
            <v>4010292</v>
          </cell>
          <cell r="B19" t="str">
            <v xml:space="preserve">이안상사                      </v>
          </cell>
          <cell r="C19">
            <v>18251.900000000001</v>
          </cell>
        </row>
        <row r="20">
          <cell r="A20">
            <v>4010450</v>
          </cell>
          <cell r="B20" t="str">
            <v xml:space="preserve">대한상사                      </v>
          </cell>
          <cell r="C20">
            <v>2926.605</v>
          </cell>
        </row>
        <row r="21">
          <cell r="A21">
            <v>4010730</v>
          </cell>
          <cell r="B21" t="str">
            <v xml:space="preserve">화진유통                      </v>
          </cell>
          <cell r="C21">
            <v>21980.338</v>
          </cell>
        </row>
        <row r="22">
          <cell r="A22">
            <v>4015053</v>
          </cell>
          <cell r="B22" t="str">
            <v xml:space="preserve">해광상사                      </v>
          </cell>
          <cell r="C22">
            <v>11503.615</v>
          </cell>
        </row>
        <row r="23">
          <cell r="A23">
            <v>4015562</v>
          </cell>
          <cell r="B23" t="str">
            <v xml:space="preserve">청정원미원상사                </v>
          </cell>
          <cell r="C23">
            <v>7328.6989999999996</v>
          </cell>
        </row>
        <row r="24">
          <cell r="A24">
            <v>4018717</v>
          </cell>
          <cell r="B24" t="str">
            <v xml:space="preserve">상산상회                      </v>
          </cell>
          <cell r="C24">
            <v>-165</v>
          </cell>
        </row>
        <row r="25">
          <cell r="A25">
            <v>4019888</v>
          </cell>
          <cell r="B25" t="str">
            <v xml:space="preserve">성현상사                      </v>
          </cell>
          <cell r="C25">
            <v>0</v>
          </cell>
        </row>
        <row r="26">
          <cell r="A26">
            <v>4020004</v>
          </cell>
          <cell r="B26" t="str">
            <v xml:space="preserve">청정원미원상사                </v>
          </cell>
          <cell r="C26">
            <v>8483.1820000000007</v>
          </cell>
        </row>
        <row r="27">
          <cell r="A27">
            <v>4020198</v>
          </cell>
          <cell r="B27" t="str">
            <v xml:space="preserve">대상식품                      </v>
          </cell>
          <cell r="C27">
            <v>0</v>
          </cell>
        </row>
        <row r="28">
          <cell r="A28">
            <v>4020291</v>
          </cell>
          <cell r="B28" t="str">
            <v xml:space="preserve">청정원유통                    </v>
          </cell>
          <cell r="C28">
            <v>0</v>
          </cell>
        </row>
        <row r="29">
          <cell r="A29">
            <v>4020356</v>
          </cell>
          <cell r="B29" t="str">
            <v xml:space="preserve">청정원유통(포항)              </v>
          </cell>
          <cell r="C29">
            <v>10880.844999999999</v>
          </cell>
        </row>
        <row r="30">
          <cell r="A30">
            <v>4020389</v>
          </cell>
          <cell r="B30" t="str">
            <v xml:space="preserve">미원상사                      </v>
          </cell>
          <cell r="C30">
            <v>1972.277</v>
          </cell>
        </row>
        <row r="31">
          <cell r="A31">
            <v>4020705</v>
          </cell>
          <cell r="B31" t="str">
            <v xml:space="preserve">경일상사                      </v>
          </cell>
          <cell r="C31">
            <v>-68.78</v>
          </cell>
        </row>
        <row r="32">
          <cell r="A32">
            <v>4020710</v>
          </cell>
          <cell r="B32" t="str">
            <v xml:space="preserve">대광상사                      </v>
          </cell>
          <cell r="C32">
            <v>0</v>
          </cell>
        </row>
        <row r="33">
          <cell r="A33">
            <v>4020992</v>
          </cell>
          <cell r="B33" t="str">
            <v xml:space="preserve">청정원상사                    </v>
          </cell>
          <cell r="C33">
            <v>-263.45699999999999</v>
          </cell>
        </row>
        <row r="34">
          <cell r="A34">
            <v>4021001</v>
          </cell>
          <cell r="B34" t="str">
            <v xml:space="preserve">대상식품 2                    </v>
          </cell>
          <cell r="C34">
            <v>0</v>
          </cell>
        </row>
        <row r="35">
          <cell r="A35">
            <v>4021016</v>
          </cell>
          <cell r="B35" t="str">
            <v xml:space="preserve">황소유통                      </v>
          </cell>
          <cell r="C35">
            <v>0</v>
          </cell>
        </row>
        <row r="36">
          <cell r="A36">
            <v>4201311</v>
          </cell>
          <cell r="B36" t="str">
            <v xml:space="preserve">미원종합상사                  </v>
          </cell>
          <cell r="C36">
            <v>51.642000000000003</v>
          </cell>
        </row>
        <row r="37">
          <cell r="A37">
            <v>4201382</v>
          </cell>
          <cell r="B37" t="str">
            <v xml:space="preserve">미화상사                      </v>
          </cell>
          <cell r="C37">
            <v>19785.52</v>
          </cell>
        </row>
        <row r="38">
          <cell r="A38">
            <v>4202808</v>
          </cell>
          <cell r="B38" t="str">
            <v xml:space="preserve">점촌미원상사                  </v>
          </cell>
          <cell r="C38">
            <v>51131.220999999998</v>
          </cell>
        </row>
        <row r="39">
          <cell r="A39">
            <v>4204556</v>
          </cell>
          <cell r="B39" t="str">
            <v xml:space="preserve">경동상사                      </v>
          </cell>
          <cell r="C39">
            <v>3666.6080000000002</v>
          </cell>
        </row>
        <row r="40">
          <cell r="A40">
            <v>4204821</v>
          </cell>
          <cell r="B40" t="str">
            <v xml:space="preserve">군위미원상사                  </v>
          </cell>
          <cell r="C40">
            <v>37919.947999999997</v>
          </cell>
        </row>
        <row r="41">
          <cell r="A41">
            <v>4205500</v>
          </cell>
          <cell r="B41" t="str">
            <v xml:space="preserve">소라유통                      </v>
          </cell>
          <cell r="C41">
            <v>20819.374</v>
          </cell>
        </row>
        <row r="42">
          <cell r="A42">
            <v>4205553</v>
          </cell>
          <cell r="B42" t="str">
            <v xml:space="preserve">청정원상사                    </v>
          </cell>
          <cell r="C42">
            <v>30449.81</v>
          </cell>
        </row>
        <row r="43">
          <cell r="A43">
            <v>4205660</v>
          </cell>
          <cell r="B43" t="str">
            <v xml:space="preserve">안동청정원대리점              </v>
          </cell>
          <cell r="C43">
            <v>17497.105</v>
          </cell>
        </row>
        <row r="44">
          <cell r="A44">
            <v>4205866</v>
          </cell>
          <cell r="B44" t="str">
            <v xml:space="preserve">대진상사                      </v>
          </cell>
          <cell r="C44">
            <v>20650.319</v>
          </cell>
        </row>
        <row r="45">
          <cell r="A45">
            <v>4218077</v>
          </cell>
          <cell r="B45" t="str">
            <v xml:space="preserve">강북상사                      </v>
          </cell>
          <cell r="C45">
            <v>16053.804</v>
          </cell>
        </row>
        <row r="46">
          <cell r="A46">
            <v>4218660</v>
          </cell>
          <cell r="B46" t="str">
            <v xml:space="preserve">대영상사                      </v>
          </cell>
          <cell r="C46">
            <v>8249.8250000000007</v>
          </cell>
        </row>
        <row r="47">
          <cell r="A47">
            <v>4218797</v>
          </cell>
          <cell r="B47" t="str">
            <v xml:space="preserve">매천상사                      </v>
          </cell>
          <cell r="C47">
            <v>0</v>
          </cell>
        </row>
        <row r="48">
          <cell r="A48">
            <v>4311182</v>
          </cell>
          <cell r="B48" t="str">
            <v xml:space="preserve">청정원상사                    </v>
          </cell>
          <cell r="C48">
            <v>41743.618000000002</v>
          </cell>
        </row>
        <row r="49">
          <cell r="A49">
            <v>4311271</v>
          </cell>
          <cell r="B49" t="str">
            <v xml:space="preserve">경주청정원                    </v>
          </cell>
          <cell r="C49">
            <v>3422.1419999999998</v>
          </cell>
        </row>
        <row r="50">
          <cell r="A50">
            <v>30421100</v>
          </cell>
          <cell r="B50" t="str">
            <v xml:space="preserve">대구１지점                    </v>
          </cell>
          <cell r="C50">
            <v>174002.03599999999</v>
          </cell>
        </row>
        <row r="51">
          <cell r="A51">
            <v>30421100</v>
          </cell>
          <cell r="B51" t="str">
            <v xml:space="preserve">대구１지점                    </v>
          </cell>
          <cell r="C51">
            <v>174002.03599999999</v>
          </cell>
        </row>
        <row r="52">
          <cell r="A52">
            <v>30422100</v>
          </cell>
          <cell r="B52" t="str">
            <v xml:space="preserve">대구２지점                    </v>
          </cell>
          <cell r="C52">
            <v>53172.078999999998</v>
          </cell>
        </row>
        <row r="53">
          <cell r="A53">
            <v>30422100</v>
          </cell>
          <cell r="B53" t="str">
            <v xml:space="preserve">대구２지점                    </v>
          </cell>
          <cell r="C53">
            <v>53172.078999999998</v>
          </cell>
        </row>
        <row r="54">
          <cell r="A54">
            <v>30423100</v>
          </cell>
          <cell r="B54" t="str">
            <v xml:space="preserve">안동지점                      </v>
          </cell>
          <cell r="C54">
            <v>201919.905</v>
          </cell>
        </row>
        <row r="55">
          <cell r="A55">
            <v>30423100</v>
          </cell>
          <cell r="B55" t="str">
            <v xml:space="preserve">안동지점                      </v>
          </cell>
          <cell r="C55">
            <v>201919.905</v>
          </cell>
        </row>
        <row r="56">
          <cell r="A56">
            <v>30424100</v>
          </cell>
          <cell r="B56" t="str">
            <v xml:space="preserve">울산지점                      </v>
          </cell>
          <cell r="C56">
            <v>69112.982999999993</v>
          </cell>
        </row>
        <row r="57">
          <cell r="A57">
            <v>30424100</v>
          </cell>
          <cell r="B57" t="str">
            <v xml:space="preserve">울산지점                      </v>
          </cell>
          <cell r="C57">
            <v>69112.982999999993</v>
          </cell>
        </row>
        <row r="58">
          <cell r="A58">
            <v>30425100</v>
          </cell>
          <cell r="B58" t="str">
            <v xml:space="preserve">포항지점                      </v>
          </cell>
          <cell r="C58">
            <v>107694.75</v>
          </cell>
        </row>
        <row r="59">
          <cell r="A59">
            <v>30425100</v>
          </cell>
          <cell r="B59" t="str">
            <v xml:space="preserve">포항지점                      </v>
          </cell>
          <cell r="C59">
            <v>107694.75</v>
          </cell>
        </row>
      </sheetData>
      <sheetData sheetId="5" refreshError="1">
        <row r="2">
          <cell r="A2">
            <v>3210754</v>
          </cell>
          <cell r="B2" t="str">
            <v xml:space="preserve">동해상사                      </v>
          </cell>
          <cell r="C2">
            <v>-4318.5659999999998</v>
          </cell>
        </row>
        <row r="3">
          <cell r="A3">
            <v>3214518</v>
          </cell>
          <cell r="B3" t="str">
            <v xml:space="preserve">제일상사                      </v>
          </cell>
          <cell r="C3">
            <v>51591.790999999997</v>
          </cell>
        </row>
        <row r="4">
          <cell r="A4">
            <v>3215921</v>
          </cell>
          <cell r="B4" t="str">
            <v xml:space="preserve">미원상사１                    </v>
          </cell>
          <cell r="C4">
            <v>228.8</v>
          </cell>
        </row>
        <row r="5">
          <cell r="A5">
            <v>3219130</v>
          </cell>
          <cell r="B5" t="str">
            <v xml:space="preserve">순화상사                      </v>
          </cell>
          <cell r="C5">
            <v>-250.15600000000001</v>
          </cell>
        </row>
        <row r="6">
          <cell r="A6">
            <v>3219986</v>
          </cell>
          <cell r="B6" t="str">
            <v xml:space="preserve">해강식품                      </v>
          </cell>
          <cell r="C6">
            <v>1399.471</v>
          </cell>
        </row>
        <row r="7">
          <cell r="A7">
            <v>3220047</v>
          </cell>
          <cell r="B7" t="str">
            <v xml:space="preserve">햇살유통                      </v>
          </cell>
          <cell r="C7">
            <v>21623.147000000001</v>
          </cell>
        </row>
        <row r="8">
          <cell r="A8">
            <v>3220085</v>
          </cell>
          <cell r="B8" t="str">
            <v xml:space="preserve">순창상사                      </v>
          </cell>
          <cell r="C8">
            <v>89.84</v>
          </cell>
        </row>
        <row r="9">
          <cell r="A9">
            <v>3220205</v>
          </cell>
          <cell r="B9" t="str">
            <v xml:space="preserve">대상유통                      </v>
          </cell>
          <cell r="C9">
            <v>34480.387999999999</v>
          </cell>
        </row>
        <row r="10">
          <cell r="A10">
            <v>3220262</v>
          </cell>
          <cell r="B10" t="str">
            <v xml:space="preserve">대상유통                      </v>
          </cell>
          <cell r="C10">
            <v>8024.5940000000001</v>
          </cell>
        </row>
        <row r="11">
          <cell r="A11">
            <v>3220399</v>
          </cell>
          <cell r="B11" t="str">
            <v xml:space="preserve">대성상사                      </v>
          </cell>
          <cell r="C11">
            <v>0</v>
          </cell>
        </row>
        <row r="12">
          <cell r="A12">
            <v>3220542</v>
          </cell>
          <cell r="B12" t="str">
            <v xml:space="preserve">미원상사3                     </v>
          </cell>
          <cell r="C12">
            <v>13372.902</v>
          </cell>
        </row>
        <row r="13">
          <cell r="A13">
            <v>3220595</v>
          </cell>
          <cell r="B13" t="str">
            <v xml:space="preserve">청정원서부영업소              </v>
          </cell>
          <cell r="C13">
            <v>-98.364000000000004</v>
          </cell>
        </row>
        <row r="14">
          <cell r="A14">
            <v>3220700</v>
          </cell>
          <cell r="B14" t="str">
            <v xml:space="preserve">호연상사                      </v>
          </cell>
          <cell r="C14">
            <v>5217.9960000000001</v>
          </cell>
        </row>
        <row r="15">
          <cell r="A15">
            <v>3220715</v>
          </cell>
          <cell r="B15" t="str">
            <v xml:space="preserve">청정원서부영업소              </v>
          </cell>
          <cell r="C15">
            <v>3763.7339999999999</v>
          </cell>
        </row>
        <row r="16">
          <cell r="A16">
            <v>3602130</v>
          </cell>
          <cell r="B16" t="str">
            <v xml:space="preserve">마산화영상사                  </v>
          </cell>
          <cell r="C16">
            <v>50817.432000000001</v>
          </cell>
        </row>
        <row r="17">
          <cell r="A17">
            <v>3603137</v>
          </cell>
          <cell r="B17" t="str">
            <v xml:space="preserve">경북상사                      </v>
          </cell>
          <cell r="C17">
            <v>-13.731999999999999</v>
          </cell>
        </row>
        <row r="18">
          <cell r="A18">
            <v>3615439</v>
          </cell>
          <cell r="B18" t="str">
            <v xml:space="preserve">통영미원상사                  </v>
          </cell>
          <cell r="C18">
            <v>5058.4870000000001</v>
          </cell>
        </row>
        <row r="19">
          <cell r="A19">
            <v>3616230</v>
          </cell>
          <cell r="B19" t="str">
            <v xml:space="preserve">청정원식품                    </v>
          </cell>
          <cell r="C19">
            <v>29525.803</v>
          </cell>
        </row>
        <row r="20">
          <cell r="A20">
            <v>3616282</v>
          </cell>
          <cell r="B20" t="str">
            <v xml:space="preserve">대진유통                      </v>
          </cell>
          <cell r="C20">
            <v>44728.178999999996</v>
          </cell>
        </row>
        <row r="21">
          <cell r="A21">
            <v>3616945</v>
          </cell>
          <cell r="B21" t="str">
            <v xml:space="preserve">청정원한려상사                </v>
          </cell>
          <cell r="C21">
            <v>31243.864000000001</v>
          </cell>
        </row>
        <row r="22">
          <cell r="A22">
            <v>3617218</v>
          </cell>
          <cell r="B22" t="str">
            <v xml:space="preserve">청정원함안상사                </v>
          </cell>
          <cell r="C22">
            <v>17340.367999999999</v>
          </cell>
        </row>
        <row r="23">
          <cell r="A23">
            <v>3617237</v>
          </cell>
          <cell r="B23" t="str">
            <v xml:space="preserve">알파상회                      </v>
          </cell>
          <cell r="C23">
            <v>17552.594000000001</v>
          </cell>
        </row>
        <row r="24">
          <cell r="A24">
            <v>3617433</v>
          </cell>
          <cell r="B24" t="str">
            <v xml:space="preserve">대현상사                      </v>
          </cell>
          <cell r="C24">
            <v>0</v>
          </cell>
        </row>
        <row r="25">
          <cell r="A25">
            <v>3617540</v>
          </cell>
          <cell r="B25" t="str">
            <v xml:space="preserve">현이상회                      </v>
          </cell>
          <cell r="C25">
            <v>40376.627</v>
          </cell>
        </row>
        <row r="26">
          <cell r="A26">
            <v>3617555</v>
          </cell>
          <cell r="B26" t="str">
            <v xml:space="preserve">밀양청정원대리점              </v>
          </cell>
          <cell r="C26">
            <v>13257.834000000001</v>
          </cell>
        </row>
        <row r="27">
          <cell r="A27">
            <v>3617605</v>
          </cell>
          <cell r="B27" t="str">
            <v xml:space="preserve">청정원상사                    </v>
          </cell>
          <cell r="C27">
            <v>13071.47</v>
          </cell>
        </row>
        <row r="28">
          <cell r="A28">
            <v>3617610</v>
          </cell>
          <cell r="B28" t="str">
            <v xml:space="preserve">청정원상사                    </v>
          </cell>
          <cell r="C28">
            <v>19033.935000000001</v>
          </cell>
        </row>
        <row r="29">
          <cell r="A29">
            <v>3617765</v>
          </cell>
          <cell r="B29" t="str">
            <v xml:space="preserve">서진유통                      </v>
          </cell>
          <cell r="C29">
            <v>0</v>
          </cell>
        </row>
        <row r="30">
          <cell r="A30">
            <v>3617799</v>
          </cell>
          <cell r="B30" t="str">
            <v xml:space="preserve">청정원재림유통                </v>
          </cell>
          <cell r="C30">
            <v>28490.967000000001</v>
          </cell>
        </row>
        <row r="31">
          <cell r="A31">
            <v>3618126</v>
          </cell>
          <cell r="B31" t="str">
            <v xml:space="preserve">청정원거제유통                </v>
          </cell>
          <cell r="C31">
            <v>35640.358999999997</v>
          </cell>
        </row>
        <row r="32">
          <cell r="A32">
            <v>4407266</v>
          </cell>
          <cell r="B32" t="str">
            <v xml:space="preserve">대상진주총판（주）            </v>
          </cell>
          <cell r="C32">
            <v>373490.89</v>
          </cell>
        </row>
        <row r="33">
          <cell r="A33">
            <v>4503756</v>
          </cell>
          <cell r="B33" t="str">
            <v xml:space="preserve">동남상사                      </v>
          </cell>
          <cell r="C33">
            <v>-213.03200000000001</v>
          </cell>
        </row>
        <row r="34">
          <cell r="A34">
            <v>4503928</v>
          </cell>
          <cell r="B34" t="str">
            <v xml:space="preserve">항도상사                      </v>
          </cell>
          <cell r="C34">
            <v>31917.670999999998</v>
          </cell>
        </row>
        <row r="35">
          <cell r="A35">
            <v>4504028</v>
          </cell>
          <cell r="B35" t="str">
            <v xml:space="preserve">부일상사                      </v>
          </cell>
          <cell r="C35">
            <v>24561.694</v>
          </cell>
        </row>
        <row r="36">
          <cell r="A36">
            <v>4504121</v>
          </cell>
          <cell r="B36" t="str">
            <v xml:space="preserve">부림상사                      </v>
          </cell>
          <cell r="C36">
            <v>14814.89</v>
          </cell>
        </row>
        <row r="37">
          <cell r="A37">
            <v>4509107</v>
          </cell>
          <cell r="B37" t="str">
            <v xml:space="preserve">청정원상사                    </v>
          </cell>
          <cell r="C37">
            <v>32930.633999999998</v>
          </cell>
        </row>
        <row r="38">
          <cell r="A38">
            <v>4509131</v>
          </cell>
          <cell r="B38" t="str">
            <v xml:space="preserve">정원상사                      </v>
          </cell>
          <cell r="C38">
            <v>20010.038</v>
          </cell>
        </row>
        <row r="39">
          <cell r="A39">
            <v>4509248</v>
          </cell>
          <cell r="B39" t="str">
            <v xml:space="preserve">금정상사                      </v>
          </cell>
          <cell r="C39">
            <v>0</v>
          </cell>
        </row>
        <row r="40">
          <cell r="A40">
            <v>4510819</v>
          </cell>
          <cell r="B40" t="str">
            <v xml:space="preserve">대운상사                      </v>
          </cell>
          <cell r="C40">
            <v>1947.2349999999999</v>
          </cell>
        </row>
        <row r="41">
          <cell r="A41">
            <v>4511452</v>
          </cell>
          <cell r="B41" t="str">
            <v xml:space="preserve">미래상사                      </v>
          </cell>
          <cell r="C41">
            <v>2886.4110000000001</v>
          </cell>
        </row>
        <row r="42">
          <cell r="A42">
            <v>4514307</v>
          </cell>
          <cell r="B42" t="str">
            <v xml:space="preserve">삼성상회                      </v>
          </cell>
          <cell r="C42">
            <v>3411.1320000000001</v>
          </cell>
        </row>
        <row r="43">
          <cell r="A43">
            <v>4514400</v>
          </cell>
          <cell r="B43" t="str">
            <v xml:space="preserve">거상식품                      </v>
          </cell>
          <cell r="C43">
            <v>107098.147</v>
          </cell>
        </row>
        <row r="44">
          <cell r="A44">
            <v>4514771</v>
          </cell>
          <cell r="B44" t="str">
            <v xml:space="preserve">한미식품                      </v>
          </cell>
          <cell r="C44">
            <v>-14.029</v>
          </cell>
        </row>
        <row r="45">
          <cell r="A45">
            <v>4516227</v>
          </cell>
          <cell r="B45" t="str">
            <v xml:space="preserve">대원상사                      </v>
          </cell>
          <cell r="C45">
            <v>0</v>
          </cell>
        </row>
        <row r="46">
          <cell r="A46">
            <v>4517930</v>
          </cell>
          <cell r="B46" t="str">
            <v xml:space="preserve">서울상사                      </v>
          </cell>
          <cell r="C46">
            <v>20501.026999999998</v>
          </cell>
        </row>
        <row r="47">
          <cell r="A47">
            <v>4518011</v>
          </cell>
          <cell r="B47" t="str">
            <v xml:space="preserve">온천상회                      </v>
          </cell>
          <cell r="C47">
            <v>0</v>
          </cell>
        </row>
        <row r="48">
          <cell r="A48">
            <v>4518587</v>
          </cell>
          <cell r="B48" t="str">
            <v xml:space="preserve">서진유통                      </v>
          </cell>
          <cell r="C48">
            <v>0</v>
          </cell>
        </row>
        <row r="49">
          <cell r="A49">
            <v>4520365</v>
          </cell>
          <cell r="B49" t="str">
            <v xml:space="preserve">금홍상사                      </v>
          </cell>
          <cell r="C49">
            <v>8796.4210000000003</v>
          </cell>
        </row>
        <row r="50">
          <cell r="A50">
            <v>4524569</v>
          </cell>
          <cell r="B50" t="str">
            <v xml:space="preserve">대한식품                      </v>
          </cell>
          <cell r="C50">
            <v>4028.8580000000002</v>
          </cell>
        </row>
        <row r="51">
          <cell r="A51">
            <v>30521100</v>
          </cell>
          <cell r="B51" t="str">
            <v xml:space="preserve">부산１지점                    </v>
          </cell>
          <cell r="C51">
            <v>247568.06200000001</v>
          </cell>
        </row>
        <row r="52">
          <cell r="A52">
            <v>30521100</v>
          </cell>
          <cell r="B52" t="str">
            <v xml:space="preserve">부산１지점                    </v>
          </cell>
          <cell r="C52">
            <v>247568.06200000001</v>
          </cell>
        </row>
        <row r="53">
          <cell r="A53">
            <v>30522100</v>
          </cell>
          <cell r="B53" t="str">
            <v xml:space="preserve">부산２지점                    </v>
          </cell>
          <cell r="C53">
            <v>160234.61199999999</v>
          </cell>
        </row>
        <row r="54">
          <cell r="A54">
            <v>30522100</v>
          </cell>
          <cell r="B54" t="str">
            <v xml:space="preserve">부산２지점                    </v>
          </cell>
          <cell r="C54">
            <v>160234.61199999999</v>
          </cell>
        </row>
        <row r="55">
          <cell r="A55">
            <v>30524100</v>
          </cell>
          <cell r="B55" t="str">
            <v xml:space="preserve">마산지점                      </v>
          </cell>
          <cell r="C55">
            <v>281330.86900000001</v>
          </cell>
        </row>
        <row r="56">
          <cell r="A56">
            <v>30524100</v>
          </cell>
          <cell r="B56" t="str">
            <v xml:space="preserve">마산지점                      </v>
          </cell>
          <cell r="C56">
            <v>281330.86900000001</v>
          </cell>
        </row>
        <row r="57">
          <cell r="A57">
            <v>30525100</v>
          </cell>
          <cell r="B57" t="str">
            <v xml:space="preserve">진주지점                      </v>
          </cell>
          <cell r="C57">
            <v>438284.20799999998</v>
          </cell>
        </row>
        <row r="58">
          <cell r="A58">
            <v>30525100</v>
          </cell>
          <cell r="B58" t="str">
            <v xml:space="preserve">진주지점                      </v>
          </cell>
          <cell r="C58">
            <v>438284.20799999998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세"/>
      <sheetName val="면세"/>
      <sheetName val="면세 (2)"/>
      <sheetName val="면세 (3)"/>
      <sheetName val="Sheet4"/>
      <sheetName val="변경시"/>
      <sheetName val="Sheet2"/>
      <sheetName val="Sheet3"/>
      <sheetName val="Sheet1"/>
      <sheetName val="매가환원"/>
      <sheetName val="연습"/>
      <sheetName val="과세 (2)"/>
      <sheetName val="원재료(1)"/>
      <sheetName val="원재료(2)"/>
      <sheetName val="원재료(3)"/>
      <sheetName val="원재료(4)"/>
      <sheetName val="과세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육훈련안내"/>
      <sheetName val="1-1"/>
      <sheetName val="1-2"/>
      <sheetName val="1-3"/>
      <sheetName val="1-4"/>
      <sheetName val="2-1"/>
      <sheetName val="회사정보"/>
      <sheetName val="매출원가(쇼핑)"/>
      <sheetName val="970721"/>
      <sheetName val="Sheet1"/>
      <sheetName val="8월말 평균환율"/>
      <sheetName val="시험결과"/>
      <sheetName val="입사자료"/>
      <sheetName val="년차"/>
      <sheetName val="진급연한"/>
      <sheetName val="매출(월누계)"/>
      <sheetName val="요인종합(당월)"/>
      <sheetName val="견적서"/>
      <sheetName val="대조표"/>
      <sheetName val="offset_사업"/>
      <sheetName val="점별(추정)"/>
      <sheetName val="특정대금지급(수시지급포함)"/>
      <sheetName val="특정total(수불0)"/>
      <sheetName val="9612서울"/>
      <sheetName val="월별일수"/>
      <sheetName val="96월별PL"/>
      <sheetName val="데이타"/>
      <sheetName val="재무"/>
      <sheetName val="상품"/>
    </sheetNames>
    <definedNames>
      <definedName name="독서"/>
    </defined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상율직거래"/>
      <sheetName val="인상율주거래"/>
      <sheetName val="지피"/>
      <sheetName val="dc"/>
      <sheetName val="지피분석"/>
      <sheetName val="Sheet2"/>
      <sheetName val="목표규격"/>
      <sheetName val="지피분석 (2)"/>
    </sheetNames>
    <sheetDataSet>
      <sheetData sheetId="0" refreshError="1"/>
      <sheetData sheetId="1" refreshError="1"/>
      <sheetData sheetId="2" refreshError="1"/>
      <sheetData sheetId="3">
        <row r="3">
          <cell r="A3">
            <v>3030100</v>
          </cell>
          <cell r="B3" t="str">
            <v>고추장</v>
          </cell>
          <cell r="C3">
            <v>70856651.299999997</v>
          </cell>
          <cell r="D3">
            <v>68610058.659999996</v>
          </cell>
          <cell r="E3">
            <v>2246592.6400000006</v>
          </cell>
          <cell r="F3">
            <v>3.1706164471252692E-2</v>
          </cell>
        </row>
        <row r="4">
          <cell r="A4">
            <v>3030101</v>
          </cell>
          <cell r="B4" t="str">
            <v xml:space="preserve">고추장（가）                            </v>
          </cell>
          <cell r="C4">
            <v>40642340.809999995</v>
          </cell>
          <cell r="D4">
            <v>39369924.93</v>
          </cell>
          <cell r="E4">
            <v>1272415.8799999952</v>
          </cell>
          <cell r="F4">
            <v>3.13076425875283E-2</v>
          </cell>
        </row>
        <row r="5">
          <cell r="A5">
            <v>3030103</v>
          </cell>
          <cell r="B5" t="str">
            <v xml:space="preserve">고추장（업）                            </v>
          </cell>
          <cell r="C5">
            <v>24145723.16</v>
          </cell>
          <cell r="D5">
            <v>23242740.870000001</v>
          </cell>
          <cell r="E5">
            <v>902982.28999999911</v>
          </cell>
          <cell r="F5">
            <v>3.7397193863958768E-2</v>
          </cell>
        </row>
        <row r="6">
          <cell r="A6">
            <v>3030105</v>
          </cell>
          <cell r="B6" t="str">
            <v>고운빛매운
고추장</v>
          </cell>
          <cell r="C6">
            <v>5724983.3599999994</v>
          </cell>
          <cell r="D6">
            <v>5661550.9299999997</v>
          </cell>
          <cell r="E6">
            <v>63432.429999999702</v>
          </cell>
          <cell r="F6">
            <v>1.1079932641061808E-2</v>
          </cell>
        </row>
        <row r="7">
          <cell r="A7">
            <v>3030106</v>
          </cell>
          <cell r="B7" t="str">
            <v>고운빛 순한
고추장</v>
          </cell>
          <cell r="C7">
            <v>343603.97</v>
          </cell>
          <cell r="D7">
            <v>335841.92</v>
          </cell>
          <cell r="E7">
            <v>7762.0499999999884</v>
          </cell>
          <cell r="F7">
            <v>2.2590105696392072E-2</v>
          </cell>
        </row>
        <row r="8">
          <cell r="A8">
            <v>3030300</v>
          </cell>
          <cell r="B8" t="str">
            <v>된장</v>
          </cell>
          <cell r="C8">
            <v>14342025.930000003</v>
          </cell>
          <cell r="D8">
            <v>13820576.419999998</v>
          </cell>
          <cell r="E8">
            <v>521449.51000000536</v>
          </cell>
          <cell r="F8">
            <v>3.6358148600837539E-2</v>
          </cell>
        </row>
        <row r="9">
          <cell r="A9">
            <v>3030301</v>
          </cell>
          <cell r="B9" t="str">
            <v xml:space="preserve">된장（가）                              </v>
          </cell>
          <cell r="C9">
            <v>5541424.3200000003</v>
          </cell>
          <cell r="D9">
            <v>5444779.7400000002</v>
          </cell>
          <cell r="E9">
            <v>96644.580000000075</v>
          </cell>
          <cell r="F9">
            <v>1.7440386156893337E-2</v>
          </cell>
        </row>
        <row r="10">
          <cell r="A10">
            <v>3030303</v>
          </cell>
          <cell r="B10" t="str">
            <v xml:space="preserve">된장（업）                              </v>
          </cell>
          <cell r="C10">
            <v>6532684.75</v>
          </cell>
          <cell r="D10">
            <v>6159442.3700000001</v>
          </cell>
          <cell r="E10">
            <v>373242.37999999989</v>
          </cell>
          <cell r="F10">
            <v>5.7134607635857509E-2</v>
          </cell>
        </row>
        <row r="11">
          <cell r="A11">
            <v>3030305</v>
          </cell>
          <cell r="B11" t="str">
            <v>콩된장</v>
          </cell>
          <cell r="C11">
            <v>2267916.86</v>
          </cell>
          <cell r="D11">
            <v>2216354.3199999998</v>
          </cell>
          <cell r="E11">
            <v>51562.540000000037</v>
          </cell>
          <cell r="F11">
            <v>2.273563943609469E-2</v>
          </cell>
        </row>
        <row r="12">
          <cell r="A12">
            <v>3030500</v>
          </cell>
          <cell r="B12" t="str">
            <v>쌈장</v>
          </cell>
          <cell r="C12">
            <v>14398085.16</v>
          </cell>
          <cell r="D12">
            <v>13982591.949999999</v>
          </cell>
          <cell r="E12">
            <v>415493.21000000089</v>
          </cell>
          <cell r="F12">
            <v>2.8857532469269052E-2</v>
          </cell>
        </row>
        <row r="13">
          <cell r="A13">
            <v>3030501</v>
          </cell>
          <cell r="B13" t="str">
            <v xml:space="preserve">쌈장（가）                              </v>
          </cell>
          <cell r="C13">
            <v>12360704.709999997</v>
          </cell>
          <cell r="D13">
            <v>12028465.49</v>
          </cell>
          <cell r="E13">
            <v>332239.21999999695</v>
          </cell>
          <cell r="F13">
            <v>2.6878663295888817E-2</v>
          </cell>
        </row>
        <row r="14">
          <cell r="A14">
            <v>3030503</v>
          </cell>
          <cell r="B14" t="str">
            <v xml:space="preserve">쌈장（업）                              </v>
          </cell>
          <cell r="C14">
            <v>2037380.45</v>
          </cell>
          <cell r="D14">
            <v>1954126.46</v>
          </cell>
          <cell r="E14">
            <v>83253.989999999991</v>
          </cell>
          <cell r="F14">
            <v>4.0863251632752243E-2</v>
          </cell>
        </row>
        <row r="15">
          <cell r="A15">
            <v>3030600</v>
          </cell>
          <cell r="B15" t="str">
            <v>춘장</v>
          </cell>
          <cell r="C15">
            <v>72191.710000000006</v>
          </cell>
          <cell r="D15">
            <v>71099.47</v>
          </cell>
          <cell r="E15">
            <v>1092.2400000000052</v>
          </cell>
          <cell r="F15">
            <v>1.5129715032376858E-2</v>
          </cell>
        </row>
        <row r="16">
          <cell r="A16">
            <v>3030601</v>
          </cell>
          <cell r="B16" t="str">
            <v>춘장(가)</v>
          </cell>
          <cell r="C16">
            <v>60756.51</v>
          </cell>
          <cell r="D16">
            <v>59715.33</v>
          </cell>
          <cell r="E16">
            <v>1041.1800000000003</v>
          </cell>
          <cell r="F16">
            <v>1.7136929030321081E-2</v>
          </cell>
        </row>
        <row r="17">
          <cell r="A17">
            <v>3030602</v>
          </cell>
          <cell r="B17" t="str">
            <v>춘장(업)</v>
          </cell>
          <cell r="C17">
            <v>11436.2</v>
          </cell>
          <cell r="D17">
            <v>11384.14</v>
          </cell>
          <cell r="E17">
            <v>52.06000000000131</v>
          </cell>
          <cell r="F17">
            <v>4.5522113988911957E-3</v>
          </cell>
        </row>
        <row r="18">
          <cell r="A18">
            <v>3030700</v>
          </cell>
          <cell r="B18" t="str">
            <v>간장</v>
          </cell>
          <cell r="C18">
            <v>23039094.82</v>
          </cell>
          <cell r="D18">
            <v>21675341.529999997</v>
          </cell>
          <cell r="E18">
            <v>1363753.2900000028</v>
          </cell>
          <cell r="F18">
            <v>5.9193006524550722E-2</v>
          </cell>
        </row>
        <row r="19">
          <cell r="A19">
            <v>3030701</v>
          </cell>
          <cell r="B19" t="str">
            <v xml:space="preserve">순창간장（가）                              </v>
          </cell>
          <cell r="C19">
            <v>698617.11</v>
          </cell>
          <cell r="D19">
            <v>545103.75</v>
          </cell>
          <cell r="E19">
            <v>153513.35999999999</v>
          </cell>
          <cell r="F19">
            <v>0.21973890676682667</v>
          </cell>
        </row>
        <row r="20">
          <cell r="A20">
            <v>3030703</v>
          </cell>
          <cell r="B20" t="str">
            <v xml:space="preserve">순창간장（업）                              </v>
          </cell>
          <cell r="C20">
            <v>113928.21</v>
          </cell>
          <cell r="D20">
            <v>105060.48</v>
          </cell>
          <cell r="E20">
            <v>8867.7300000000105</v>
          </cell>
          <cell r="F20">
            <v>7.7836121536536129E-2</v>
          </cell>
        </row>
        <row r="21">
          <cell r="A21">
            <v>3030705</v>
          </cell>
          <cell r="B21" t="str">
            <v xml:space="preserve">조림간장                                </v>
          </cell>
          <cell r="C21">
            <v>6873157.5600000005</v>
          </cell>
          <cell r="D21">
            <v>6349730.8099999996</v>
          </cell>
          <cell r="E21">
            <v>523426.75000000093</v>
          </cell>
          <cell r="F21">
            <v>7.6155208931366458E-2</v>
          </cell>
        </row>
        <row r="22">
          <cell r="A22">
            <v>3030707</v>
          </cell>
          <cell r="B22" t="str">
            <v>소스간장</v>
          </cell>
          <cell r="C22">
            <v>181783.67999999999</v>
          </cell>
          <cell r="D22">
            <v>164757.51</v>
          </cell>
          <cell r="E22">
            <v>17026.169999999984</v>
          </cell>
          <cell r="F22">
            <v>9.3661708245756481E-2</v>
          </cell>
        </row>
        <row r="23">
          <cell r="A23">
            <v>3030709</v>
          </cell>
          <cell r="B23" t="str">
            <v xml:space="preserve">국간장                        </v>
          </cell>
          <cell r="C23">
            <v>677536.05</v>
          </cell>
          <cell r="D23">
            <v>578368.81999999995</v>
          </cell>
          <cell r="E23">
            <v>99167.230000000098</v>
          </cell>
          <cell r="F23">
            <v>0.14636450709892115</v>
          </cell>
        </row>
        <row r="24">
          <cell r="A24">
            <v>3030711</v>
          </cell>
          <cell r="B24" t="str">
            <v>햇살 진</v>
          </cell>
          <cell r="C24">
            <v>11387376.489999998</v>
          </cell>
          <cell r="D24">
            <v>11074403.060000002</v>
          </cell>
          <cell r="E24">
            <v>312973.42999999598</v>
          </cell>
          <cell r="F24">
            <v>2.7484243651278103E-2</v>
          </cell>
        </row>
        <row r="25">
          <cell r="A25">
            <v>3030712</v>
          </cell>
          <cell r="B25" t="str">
            <v>햇살 양조</v>
          </cell>
          <cell r="C25">
            <v>2296039.7000000002</v>
          </cell>
          <cell r="D25">
            <v>2167877.7999999998</v>
          </cell>
          <cell r="E25">
            <v>128161.90000000037</v>
          </cell>
          <cell r="F25">
            <v>5.5818677699693037E-2</v>
          </cell>
        </row>
        <row r="26">
          <cell r="A26">
            <v>3030713</v>
          </cell>
          <cell r="B26" t="str">
            <v>햇살 기타</v>
          </cell>
          <cell r="C26">
            <v>12428</v>
          </cell>
          <cell r="D26">
            <v>11599.4</v>
          </cell>
          <cell r="E26">
            <v>828.60000000000036</v>
          </cell>
          <cell r="F26">
            <v>6.6672030897972356E-2</v>
          </cell>
        </row>
        <row r="27">
          <cell r="A27">
            <v>3030717</v>
          </cell>
          <cell r="B27" t="str">
            <v>햇살 매실</v>
          </cell>
          <cell r="C27">
            <v>566161.72</v>
          </cell>
          <cell r="D27">
            <v>458542.98</v>
          </cell>
          <cell r="E27">
            <v>107618.73999999999</v>
          </cell>
          <cell r="F27">
            <v>0.19008480474448183</v>
          </cell>
        </row>
        <row r="28">
          <cell r="A28">
            <v>3030801</v>
          </cell>
          <cell r="B28" t="str">
            <v>요리양념장</v>
          </cell>
          <cell r="C28">
            <v>-28330.92</v>
          </cell>
          <cell r="D28">
            <v>-28250.16</v>
          </cell>
          <cell r="E28">
            <v>-80.759999999998399</v>
          </cell>
          <cell r="F28">
            <v>2.8505957448610349E-3</v>
          </cell>
        </row>
        <row r="29">
          <cell r="A29">
            <v>3030921</v>
          </cell>
          <cell r="B29" t="str">
            <v>선물세트</v>
          </cell>
          <cell r="C29">
            <v>309991.32</v>
          </cell>
          <cell r="D29">
            <v>292494.88</v>
          </cell>
          <cell r="E29">
            <v>17496.440000000002</v>
          </cell>
          <cell r="F29">
            <v>5.6441709400121096E-2</v>
          </cell>
        </row>
        <row r="30">
          <cell r="A30" t="str">
            <v>TOT</v>
          </cell>
          <cell r="B30" t="str">
            <v>장류</v>
          </cell>
          <cell r="C30">
            <v>122745700.31</v>
          </cell>
          <cell r="D30">
            <v>118184633.09</v>
          </cell>
          <cell r="E30">
            <v>4561067.2199999988</v>
          </cell>
          <cell r="F30">
            <v>3.7158672022570324E-2</v>
          </cell>
        </row>
      </sheetData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체가 (2)"/>
      <sheetName val="상품장"/>
      <sheetName val="마그넷상품"/>
    </sheetNames>
    <sheetDataSet>
      <sheetData sheetId="0"/>
      <sheetData sheetId="1">
        <row r="4">
          <cell r="C4" t="str">
            <v>소스마킹코드</v>
          </cell>
          <cell r="D4" t="str">
            <v>상 품 명</v>
          </cell>
          <cell r="E4" t="str">
            <v>상품규격</v>
          </cell>
          <cell r="F4" t="str">
            <v>입수</v>
          </cell>
          <cell r="G4" t="str">
            <v>원가</v>
          </cell>
          <cell r="H4" t="str">
            <v>매가</v>
          </cell>
        </row>
        <row r="5">
          <cell r="C5">
            <v>8801052433035</v>
          </cell>
          <cell r="D5" t="str">
            <v>민속당면골드1KG</v>
          </cell>
          <cell r="E5" t="str">
            <v>1KG</v>
          </cell>
          <cell r="F5" t="str">
            <v>10BOX</v>
          </cell>
          <cell r="G5">
            <v>3400</v>
          </cell>
          <cell r="H5">
            <v>3950</v>
          </cell>
        </row>
        <row r="6">
          <cell r="C6">
            <v>8801099201017</v>
          </cell>
          <cell r="D6" t="str">
            <v>로즈버드커피믹스240</v>
          </cell>
          <cell r="E6" t="str">
            <v>240G</v>
          </cell>
          <cell r="F6" t="str">
            <v>24BOX</v>
          </cell>
          <cell r="G6">
            <v>800</v>
          </cell>
          <cell r="H6">
            <v>1000</v>
          </cell>
        </row>
        <row r="7">
          <cell r="C7">
            <v>8801099202014</v>
          </cell>
          <cell r="D7" t="str">
            <v>콜럼비아커피믹스(240G)</v>
          </cell>
          <cell r="E7" t="str">
            <v>240G</v>
          </cell>
          <cell r="F7" t="str">
            <v>24BOX</v>
          </cell>
          <cell r="G7">
            <v>1810</v>
          </cell>
          <cell r="H7">
            <v>2500</v>
          </cell>
        </row>
        <row r="8">
          <cell r="C8">
            <v>8801052601090</v>
          </cell>
          <cell r="D8" t="str">
            <v>올리고당</v>
          </cell>
          <cell r="E8" t="str">
            <v>1000G</v>
          </cell>
          <cell r="F8" t="str">
            <v>12BOX</v>
          </cell>
          <cell r="G8">
            <v>2200</v>
          </cell>
          <cell r="H8">
            <v>2850</v>
          </cell>
        </row>
        <row r="9">
          <cell r="C9">
            <v>8801052451039</v>
          </cell>
          <cell r="D9" t="str">
            <v>물엿</v>
          </cell>
          <cell r="E9" t="str">
            <v>2.45KG</v>
          </cell>
          <cell r="F9" t="str">
            <v>6BOX</v>
          </cell>
          <cell r="G9">
            <v>1930</v>
          </cell>
          <cell r="H9">
            <v>3180</v>
          </cell>
        </row>
        <row r="10">
          <cell r="C10">
            <v>8801052773278</v>
          </cell>
          <cell r="D10" t="str">
            <v>조림간장1.8L</v>
          </cell>
          <cell r="E10" t="str">
            <v>1800ML</v>
          </cell>
          <cell r="F10" t="str">
            <v>8BOX</v>
          </cell>
          <cell r="G10">
            <v>4095</v>
          </cell>
          <cell r="H10">
            <v>5300</v>
          </cell>
        </row>
        <row r="11">
          <cell r="C11">
            <v>8801052173047</v>
          </cell>
          <cell r="D11" t="str">
            <v>맛소금2KG</v>
          </cell>
          <cell r="E11" t="str">
            <v>2000G</v>
          </cell>
          <cell r="F11" t="str">
            <v>6BOX</v>
          </cell>
          <cell r="G11">
            <v>2150</v>
          </cell>
          <cell r="H11">
            <v>2800</v>
          </cell>
        </row>
        <row r="12">
          <cell r="C12">
            <v>8801052135755</v>
          </cell>
          <cell r="D12" t="str">
            <v>미정1.8L</v>
          </cell>
          <cell r="E12" t="str">
            <v>1800ML</v>
          </cell>
          <cell r="F12" t="str">
            <v>6BOX</v>
          </cell>
          <cell r="G12">
            <v>1837</v>
          </cell>
          <cell r="H12">
            <v>2350</v>
          </cell>
        </row>
        <row r="13">
          <cell r="C13">
            <v>8801052431161</v>
          </cell>
          <cell r="D13" t="str">
            <v>현미식초</v>
          </cell>
          <cell r="E13" t="str">
            <v>1800ML</v>
          </cell>
          <cell r="F13" t="str">
            <v>9BOX</v>
          </cell>
          <cell r="G13">
            <v>1670</v>
          </cell>
          <cell r="H13">
            <v>1850</v>
          </cell>
        </row>
        <row r="14">
          <cell r="C14">
            <v>8801052121161</v>
          </cell>
          <cell r="D14" t="str">
            <v>쇠고기맛나</v>
          </cell>
          <cell r="E14" t="str">
            <v>2000G</v>
          </cell>
          <cell r="F14" t="str">
            <v>6BOX</v>
          </cell>
          <cell r="G14">
            <v>10320</v>
          </cell>
          <cell r="H14">
            <v>12900</v>
          </cell>
        </row>
        <row r="15">
          <cell r="C15">
            <v>8801052122090</v>
          </cell>
          <cell r="D15" t="str">
            <v>멸치맛나</v>
          </cell>
          <cell r="E15" t="str">
            <v>2000G</v>
          </cell>
          <cell r="F15" t="str">
            <v>6BOX</v>
          </cell>
          <cell r="G15">
            <v>8400</v>
          </cell>
          <cell r="H15">
            <v>10500</v>
          </cell>
        </row>
        <row r="16">
          <cell r="C16">
            <v>8801052121444</v>
          </cell>
          <cell r="D16" t="str">
            <v>쇠고기맛나</v>
          </cell>
          <cell r="E16" t="str">
            <v>1400G</v>
          </cell>
          <cell r="F16" t="str">
            <v>8BOX</v>
          </cell>
          <cell r="G16">
            <v>7600</v>
          </cell>
          <cell r="H16">
            <v>9500</v>
          </cell>
        </row>
        <row r="17">
          <cell r="C17">
            <v>8801052401164</v>
          </cell>
          <cell r="D17" t="str">
            <v>마요네즈</v>
          </cell>
          <cell r="E17" t="str">
            <v>3200G</v>
          </cell>
          <cell r="F17" t="str">
            <v>4BOX</v>
          </cell>
          <cell r="G17">
            <v>3760</v>
          </cell>
          <cell r="H17">
            <v>4700</v>
          </cell>
        </row>
        <row r="18">
          <cell r="C18">
            <v>8801052401065</v>
          </cell>
          <cell r="D18" t="str">
            <v>마요네즈</v>
          </cell>
          <cell r="E18" t="str">
            <v>1600G</v>
          </cell>
          <cell r="F18" t="str">
            <v>6BOX</v>
          </cell>
          <cell r="G18">
            <v>2500</v>
          </cell>
          <cell r="H18">
            <v>3000</v>
          </cell>
        </row>
        <row r="19">
          <cell r="C19">
            <v>8801052203096</v>
          </cell>
          <cell r="D19" t="str">
            <v>멸치액젓골드</v>
          </cell>
          <cell r="E19" t="str">
            <v>3KG</v>
          </cell>
          <cell r="F19" t="str">
            <v>4BOX</v>
          </cell>
          <cell r="G19">
            <v>5625</v>
          </cell>
          <cell r="H19">
            <v>7200</v>
          </cell>
        </row>
        <row r="20">
          <cell r="C20">
            <v>8801052135854</v>
          </cell>
          <cell r="D20" t="str">
            <v>쇠고기진육수</v>
          </cell>
          <cell r="E20" t="str">
            <v>960G</v>
          </cell>
          <cell r="F20" t="str">
            <v>6BOX</v>
          </cell>
          <cell r="G20">
            <v>5500</v>
          </cell>
          <cell r="H20">
            <v>7600</v>
          </cell>
        </row>
        <row r="21">
          <cell r="C21">
            <v>8801052135847</v>
          </cell>
          <cell r="D21" t="str">
            <v>쇠고기진육수</v>
          </cell>
          <cell r="E21" t="str">
            <v>340G</v>
          </cell>
          <cell r="F21" t="str">
            <v>15BOX</v>
          </cell>
          <cell r="G21">
            <v>2320</v>
          </cell>
          <cell r="H21">
            <v>3190</v>
          </cell>
        </row>
        <row r="22">
          <cell r="C22">
            <v>8801052135083</v>
          </cell>
          <cell r="D22" t="str">
            <v>불고기양념</v>
          </cell>
          <cell r="E22" t="str">
            <v>960G</v>
          </cell>
          <cell r="F22" t="str">
            <v>12BOX</v>
          </cell>
          <cell r="G22">
            <v>2300</v>
          </cell>
          <cell r="H22">
            <v>2950</v>
          </cell>
        </row>
        <row r="23">
          <cell r="C23">
            <v>8801052135137</v>
          </cell>
          <cell r="D23" t="str">
            <v>돼지불고기양념</v>
          </cell>
          <cell r="E23" t="str">
            <v>960G</v>
          </cell>
          <cell r="F23" t="str">
            <v>12BOX</v>
          </cell>
          <cell r="G23">
            <v>2760</v>
          </cell>
          <cell r="H23">
            <v>3800</v>
          </cell>
        </row>
        <row r="24">
          <cell r="C24">
            <v>8801052135540</v>
          </cell>
          <cell r="D24" t="str">
            <v>갈비양념</v>
          </cell>
          <cell r="E24" t="str">
            <v>960G</v>
          </cell>
          <cell r="F24" t="str">
            <v>12BOX</v>
          </cell>
          <cell r="G24">
            <v>2300</v>
          </cell>
          <cell r="H24">
            <v>2950</v>
          </cell>
        </row>
        <row r="25">
          <cell r="C25">
            <v>8801052401607</v>
          </cell>
          <cell r="D25" t="str">
            <v>케찹</v>
          </cell>
          <cell r="E25" t="str">
            <v>3.3KG</v>
          </cell>
          <cell r="F25" t="str">
            <v>6BOX</v>
          </cell>
          <cell r="G25">
            <v>1803</v>
          </cell>
          <cell r="H25">
            <v>2280</v>
          </cell>
        </row>
        <row r="26">
          <cell r="C26">
            <v>8801052401607</v>
          </cell>
          <cell r="D26" t="str">
            <v>케찹</v>
          </cell>
          <cell r="E26" t="str">
            <v>3.3KG</v>
          </cell>
          <cell r="F26" t="str">
            <v>6BOX</v>
          </cell>
          <cell r="G26">
            <v>1803</v>
          </cell>
          <cell r="H26">
            <v>3160</v>
          </cell>
        </row>
        <row r="27">
          <cell r="C27">
            <v>8801052401126</v>
          </cell>
          <cell r="D27" t="str">
            <v>케찹+마요네즈</v>
          </cell>
          <cell r="E27" t="str">
            <v>1600G</v>
          </cell>
          <cell r="F27" t="str">
            <v>6BOX</v>
          </cell>
          <cell r="G27">
            <v>2955</v>
          </cell>
          <cell r="H27">
            <v>3780</v>
          </cell>
        </row>
        <row r="28">
          <cell r="C28">
            <v>8801052436050</v>
          </cell>
          <cell r="D28" t="str">
            <v>된장</v>
          </cell>
          <cell r="E28" t="str">
            <v>3KG</v>
          </cell>
          <cell r="F28" t="str">
            <v>4BOX</v>
          </cell>
          <cell r="G28">
            <v>4550</v>
          </cell>
          <cell r="H28">
            <v>5900</v>
          </cell>
        </row>
        <row r="29">
          <cell r="C29">
            <v>8801052436043</v>
          </cell>
          <cell r="D29" t="str">
            <v>된장</v>
          </cell>
          <cell r="E29" t="str">
            <v>1.8KG</v>
          </cell>
          <cell r="F29" t="str">
            <v>6BOX</v>
          </cell>
          <cell r="G29">
            <v>2860</v>
          </cell>
          <cell r="H29">
            <v>3700</v>
          </cell>
        </row>
        <row r="30">
          <cell r="C30">
            <v>8801052435206</v>
          </cell>
          <cell r="D30" t="str">
            <v>고추장</v>
          </cell>
          <cell r="E30" t="str">
            <v>2.4KG</v>
          </cell>
          <cell r="F30" t="str">
            <v>6BOX</v>
          </cell>
          <cell r="G30">
            <v>7750</v>
          </cell>
          <cell r="H30">
            <v>10000</v>
          </cell>
        </row>
        <row r="31">
          <cell r="C31">
            <v>8801052773186</v>
          </cell>
          <cell r="D31" t="str">
            <v>까나리액젓</v>
          </cell>
          <cell r="E31" t="str">
            <v>3KG</v>
          </cell>
          <cell r="F31" t="str">
            <v>4BOX</v>
          </cell>
          <cell r="G31">
            <v>6595</v>
          </cell>
          <cell r="H31">
            <v>8500</v>
          </cell>
        </row>
        <row r="32">
          <cell r="C32">
            <v>8801052202037</v>
          </cell>
          <cell r="D32" t="str">
            <v>청정미역</v>
          </cell>
          <cell r="E32" t="str">
            <v>150G</v>
          </cell>
          <cell r="F32" t="str">
            <v>20BOX</v>
          </cell>
          <cell r="G32">
            <v>1640</v>
          </cell>
          <cell r="H32">
            <v>2080</v>
          </cell>
        </row>
        <row r="33">
          <cell r="C33">
            <v>8801052402956</v>
          </cell>
          <cell r="D33" t="str">
            <v>돈까스소스</v>
          </cell>
          <cell r="E33" t="str">
            <v>400G</v>
          </cell>
          <cell r="F33" t="str">
            <v>12BOX</v>
          </cell>
          <cell r="G33">
            <v>930</v>
          </cell>
          <cell r="H33">
            <v>1180</v>
          </cell>
        </row>
        <row r="34">
          <cell r="C34">
            <v>8801052901053</v>
          </cell>
          <cell r="D34" t="str">
            <v>쌀엿</v>
          </cell>
          <cell r="E34" t="str">
            <v>3KG</v>
          </cell>
          <cell r="F34" t="str">
            <v>6BOX</v>
          </cell>
          <cell r="G34">
            <v>5670</v>
          </cell>
          <cell r="H34">
            <v>7350</v>
          </cell>
        </row>
        <row r="35">
          <cell r="C35">
            <v>8801052130149</v>
          </cell>
          <cell r="D35" t="str">
            <v>쇠고기감치미</v>
          </cell>
          <cell r="E35" t="str">
            <v>1000G</v>
          </cell>
          <cell r="F35" t="str">
            <v>10BOX</v>
          </cell>
          <cell r="G35">
            <v>6280</v>
          </cell>
          <cell r="H35">
            <v>7850</v>
          </cell>
        </row>
        <row r="36">
          <cell r="C36">
            <v>8801052121109</v>
          </cell>
          <cell r="D36" t="str">
            <v>쇠고기맛나</v>
          </cell>
          <cell r="E36" t="str">
            <v>500G</v>
          </cell>
          <cell r="F36" t="str">
            <v>24BOX</v>
          </cell>
          <cell r="G36">
            <v>3000</v>
          </cell>
          <cell r="H36">
            <v>3750</v>
          </cell>
        </row>
        <row r="37">
          <cell r="C37">
            <v>8801052122168</v>
          </cell>
          <cell r="D37" t="str">
            <v>멸치맛나</v>
          </cell>
          <cell r="E37" t="str">
            <v>500G</v>
          </cell>
          <cell r="F37" t="str">
            <v>24BOX</v>
          </cell>
          <cell r="G37">
            <v>2200</v>
          </cell>
          <cell r="H37">
            <v>2750</v>
          </cell>
        </row>
        <row r="38">
          <cell r="C38">
            <v>8801052130064</v>
          </cell>
          <cell r="D38" t="str">
            <v>쇠고기감치미</v>
          </cell>
          <cell r="E38" t="str">
            <v>500G</v>
          </cell>
          <cell r="F38" t="str">
            <v>24BOX</v>
          </cell>
          <cell r="G38">
            <v>3360</v>
          </cell>
          <cell r="H38">
            <v>4200</v>
          </cell>
        </row>
        <row r="39">
          <cell r="C39">
            <v>8801052131085</v>
          </cell>
          <cell r="D39" t="str">
            <v>해물감치미</v>
          </cell>
          <cell r="E39" t="str">
            <v>500G</v>
          </cell>
          <cell r="F39" t="str">
            <v>20BOX</v>
          </cell>
          <cell r="G39">
            <v>3600</v>
          </cell>
          <cell r="H39">
            <v>4500</v>
          </cell>
        </row>
        <row r="40">
          <cell r="C40">
            <v>8801052503899</v>
          </cell>
          <cell r="D40" t="str">
            <v>새우동그랑땡</v>
          </cell>
          <cell r="E40" t="str">
            <v>800g</v>
          </cell>
          <cell r="F40" t="str">
            <v>8BOX</v>
          </cell>
          <cell r="G40">
            <v>2511</v>
          </cell>
          <cell r="H40">
            <v>3250</v>
          </cell>
        </row>
        <row r="41">
          <cell r="C41">
            <v>8801052541150</v>
          </cell>
          <cell r="D41" t="str">
            <v>쇠고기덮밥</v>
          </cell>
          <cell r="E41" t="str">
            <v>190GX2</v>
          </cell>
          <cell r="F41" t="str">
            <v>10BOX</v>
          </cell>
          <cell r="G41">
            <v>1850</v>
          </cell>
          <cell r="H41">
            <v>2340</v>
          </cell>
        </row>
        <row r="42">
          <cell r="C42">
            <v>8801057541186</v>
          </cell>
          <cell r="D42" t="str">
            <v>닭고기덮밥</v>
          </cell>
          <cell r="E42" t="str">
            <v>190GX2</v>
          </cell>
          <cell r="F42" t="str">
            <v>10BOX</v>
          </cell>
          <cell r="G42">
            <v>1850</v>
          </cell>
          <cell r="H42">
            <v>2340</v>
          </cell>
        </row>
        <row r="43">
          <cell r="C43">
            <v>8801052433141</v>
          </cell>
          <cell r="D43" t="str">
            <v>민속당면골드</v>
          </cell>
          <cell r="E43" t="str">
            <v>630G</v>
          </cell>
          <cell r="F43" t="str">
            <v>15BOX</v>
          </cell>
          <cell r="G43">
            <v>2240</v>
          </cell>
          <cell r="H43">
            <v>2900</v>
          </cell>
        </row>
        <row r="44">
          <cell r="C44">
            <v>8801052435282</v>
          </cell>
          <cell r="D44" t="str">
            <v>고추장</v>
          </cell>
          <cell r="E44" t="str">
            <v>1.5KG</v>
          </cell>
          <cell r="F44" t="str">
            <v>8BOX</v>
          </cell>
          <cell r="G44">
            <v>5100</v>
          </cell>
          <cell r="H44">
            <v>6600</v>
          </cell>
        </row>
        <row r="45">
          <cell r="C45">
            <v>8801052451022</v>
          </cell>
          <cell r="D45" t="str">
            <v>물엿</v>
          </cell>
          <cell r="E45" t="str">
            <v>1.2KG</v>
          </cell>
          <cell r="F45" t="str">
            <v>12BOX</v>
          </cell>
          <cell r="G45">
            <v>1050</v>
          </cell>
          <cell r="H45">
            <v>1300</v>
          </cell>
        </row>
        <row r="46">
          <cell r="C46">
            <v>8801052901039</v>
          </cell>
          <cell r="D46" t="str">
            <v>쌀엿</v>
          </cell>
          <cell r="E46" t="str">
            <v>1.2KG</v>
          </cell>
          <cell r="F46" t="str">
            <v>12BOX</v>
          </cell>
          <cell r="G46">
            <v>2200</v>
          </cell>
          <cell r="H46">
            <v>2850</v>
          </cell>
        </row>
        <row r="47">
          <cell r="C47">
            <v>8801052435022</v>
          </cell>
          <cell r="D47" t="str">
            <v>고추장</v>
          </cell>
          <cell r="E47" t="str">
            <v>1KG</v>
          </cell>
          <cell r="F47" t="str">
            <v>12BOX</v>
          </cell>
          <cell r="G47">
            <v>3720</v>
          </cell>
          <cell r="H47">
            <v>4900</v>
          </cell>
        </row>
        <row r="48">
          <cell r="C48">
            <v>8801052438023</v>
          </cell>
          <cell r="D48" t="str">
            <v>쌈장</v>
          </cell>
          <cell r="E48" t="str">
            <v>1KG</v>
          </cell>
          <cell r="F48" t="str">
            <v>12BOX</v>
          </cell>
          <cell r="G48">
            <v>2420</v>
          </cell>
          <cell r="H48">
            <v>3200</v>
          </cell>
        </row>
        <row r="49">
          <cell r="C49">
            <v>8801052431277</v>
          </cell>
          <cell r="D49" t="str">
            <v>2배진한양조식초</v>
          </cell>
          <cell r="E49" t="str">
            <v>900ML</v>
          </cell>
          <cell r="F49" t="str">
            <v>12BOX</v>
          </cell>
          <cell r="G49">
            <v>750</v>
          </cell>
          <cell r="H49">
            <v>950</v>
          </cell>
        </row>
        <row r="50">
          <cell r="C50">
            <v>8801052431291</v>
          </cell>
          <cell r="D50" t="str">
            <v>2배진한사과식초</v>
          </cell>
          <cell r="E50" t="str">
            <v>900ML</v>
          </cell>
          <cell r="F50" t="str">
            <v>12BOX</v>
          </cell>
          <cell r="G50">
            <v>1140</v>
          </cell>
          <cell r="H50">
            <v>1480</v>
          </cell>
        </row>
        <row r="51">
          <cell r="C51">
            <v>8801052401249</v>
          </cell>
          <cell r="D51" t="str">
            <v>쇠고기죽</v>
          </cell>
          <cell r="E51" t="str">
            <v>85G</v>
          </cell>
          <cell r="F51" t="str">
            <v>40BOX</v>
          </cell>
          <cell r="G51">
            <v>400</v>
          </cell>
          <cell r="H51">
            <v>850</v>
          </cell>
        </row>
        <row r="52">
          <cell r="C52">
            <v>8801052401256</v>
          </cell>
          <cell r="D52" t="str">
            <v>잣죽</v>
          </cell>
          <cell r="E52" t="str">
            <v>80G</v>
          </cell>
          <cell r="F52" t="str">
            <v>40BOX</v>
          </cell>
          <cell r="G52">
            <v>900</v>
          </cell>
          <cell r="H52">
            <v>1450</v>
          </cell>
        </row>
        <row r="53">
          <cell r="C53">
            <v>8801052402659</v>
          </cell>
          <cell r="D53" t="str">
            <v>진미죽</v>
          </cell>
          <cell r="E53" t="str">
            <v>85G</v>
          </cell>
          <cell r="F53" t="str">
            <v>40BOX</v>
          </cell>
          <cell r="G53">
            <v>400</v>
          </cell>
          <cell r="H53">
            <v>850</v>
          </cell>
        </row>
        <row r="54">
          <cell r="C54">
            <v>8801052171067</v>
          </cell>
          <cell r="D54" t="str">
            <v>맛소금</v>
          </cell>
          <cell r="E54" t="str">
            <v>1000G</v>
          </cell>
          <cell r="F54" t="str">
            <v>20BOX</v>
          </cell>
          <cell r="G54">
            <v>1200</v>
          </cell>
          <cell r="H54">
            <v>1550</v>
          </cell>
        </row>
        <row r="55">
          <cell r="C55">
            <v>8801052931159</v>
          </cell>
          <cell r="D55" t="str">
            <v>하이포크미즈팜</v>
          </cell>
          <cell r="E55" t="str">
            <v>340G*3</v>
          </cell>
          <cell r="F55" t="str">
            <v>8BOX</v>
          </cell>
          <cell r="G55">
            <v>6050</v>
          </cell>
          <cell r="H55">
            <v>7900</v>
          </cell>
        </row>
        <row r="56">
          <cell r="C56">
            <v>8801052931142</v>
          </cell>
          <cell r="D56" t="str">
            <v>하이포크런천미트</v>
          </cell>
          <cell r="E56" t="str">
            <v>340G*3</v>
          </cell>
          <cell r="F56" t="str">
            <v>8BOX</v>
          </cell>
          <cell r="G56">
            <v>4600</v>
          </cell>
          <cell r="H56">
            <v>5900</v>
          </cell>
        </row>
        <row r="57">
          <cell r="C57">
            <v>8801052437194</v>
          </cell>
          <cell r="D57" t="str">
            <v>조림간장</v>
          </cell>
          <cell r="E57" t="str">
            <v>490ML</v>
          </cell>
          <cell r="F57" t="str">
            <v>24BOX</v>
          </cell>
          <cell r="G57">
            <v>1080</v>
          </cell>
          <cell r="H57">
            <v>1400</v>
          </cell>
        </row>
        <row r="58">
          <cell r="C58">
            <v>8801052135021</v>
          </cell>
          <cell r="D58" t="str">
            <v>불고기양념</v>
          </cell>
          <cell r="E58" t="str">
            <v>250G</v>
          </cell>
          <cell r="F58" t="str">
            <v>20BOX</v>
          </cell>
          <cell r="G58">
            <v>799</v>
          </cell>
          <cell r="H58">
            <v>1000</v>
          </cell>
        </row>
        <row r="59">
          <cell r="C59">
            <v>8801052203225</v>
          </cell>
          <cell r="D59" t="str">
            <v>멸치액젓골드</v>
          </cell>
          <cell r="E59" t="str">
            <v>1KG</v>
          </cell>
          <cell r="F59" t="str">
            <v>12BOX</v>
          </cell>
          <cell r="G59">
            <v>2135</v>
          </cell>
          <cell r="H59">
            <v>2750</v>
          </cell>
        </row>
        <row r="60">
          <cell r="C60">
            <v>8801052773179</v>
          </cell>
          <cell r="D60" t="str">
            <v>까나리액젓</v>
          </cell>
          <cell r="E60" t="str">
            <v>1KG</v>
          </cell>
          <cell r="F60" t="str">
            <v>12BOX</v>
          </cell>
          <cell r="G60">
            <v>2425</v>
          </cell>
          <cell r="H60">
            <v>3100</v>
          </cell>
        </row>
        <row r="61">
          <cell r="C61">
            <v>8801052437200</v>
          </cell>
          <cell r="D61" t="str">
            <v>조림간장</v>
          </cell>
          <cell r="E61" t="str">
            <v>980ML</v>
          </cell>
          <cell r="F61" t="str">
            <v>12BOX</v>
          </cell>
          <cell r="G61">
            <v>2050</v>
          </cell>
          <cell r="H61">
            <v>2700</v>
          </cell>
        </row>
        <row r="62">
          <cell r="C62">
            <v>8801052436029</v>
          </cell>
          <cell r="D62" t="str">
            <v>된장</v>
          </cell>
          <cell r="E62" t="str">
            <v>1KG</v>
          </cell>
          <cell r="F62" t="str">
            <v>12BOX</v>
          </cell>
          <cell r="G62">
            <v>1630</v>
          </cell>
          <cell r="H62">
            <v>2100</v>
          </cell>
        </row>
        <row r="63">
          <cell r="C63">
            <v>8801052401058</v>
          </cell>
          <cell r="D63" t="str">
            <v>마요네즈</v>
          </cell>
          <cell r="E63" t="str">
            <v>800G</v>
          </cell>
          <cell r="F63" t="str">
            <v>12BOX</v>
          </cell>
          <cell r="G63">
            <v>1680</v>
          </cell>
          <cell r="H63">
            <v>2180</v>
          </cell>
        </row>
        <row r="64">
          <cell r="C64">
            <v>8801052401652</v>
          </cell>
          <cell r="D64" t="str">
            <v>식.마아가린</v>
          </cell>
          <cell r="E64" t="str">
            <v>400G</v>
          </cell>
          <cell r="F64" t="str">
            <v>12BOX</v>
          </cell>
          <cell r="G64">
            <v>1100</v>
          </cell>
          <cell r="H64">
            <v>1400</v>
          </cell>
        </row>
        <row r="65">
          <cell r="C65">
            <v>8801052401690</v>
          </cell>
          <cell r="D65" t="str">
            <v>옥.마아가린</v>
          </cell>
          <cell r="E65" t="str">
            <v>400G</v>
          </cell>
          <cell r="F65" t="str">
            <v>12BOX</v>
          </cell>
          <cell r="G65">
            <v>1100</v>
          </cell>
          <cell r="H65">
            <v>1400</v>
          </cell>
        </row>
        <row r="66">
          <cell r="C66">
            <v>8801052431109</v>
          </cell>
          <cell r="D66" t="str">
            <v>양조식초</v>
          </cell>
          <cell r="E66" t="str">
            <v>900ML</v>
          </cell>
          <cell r="F66" t="str">
            <v>12BOX</v>
          </cell>
          <cell r="G66">
            <v>570</v>
          </cell>
          <cell r="H66">
            <v>740</v>
          </cell>
        </row>
        <row r="67">
          <cell r="C67">
            <v>8801052431024</v>
          </cell>
          <cell r="D67" t="str">
            <v>사과식초</v>
          </cell>
          <cell r="E67" t="str">
            <v>900ML</v>
          </cell>
          <cell r="F67" t="str">
            <v>12BOX</v>
          </cell>
          <cell r="G67">
            <v>930</v>
          </cell>
          <cell r="H67">
            <v>1200</v>
          </cell>
        </row>
        <row r="68">
          <cell r="C68">
            <v>8801052135038</v>
          </cell>
          <cell r="D68" t="str">
            <v>불고기양념</v>
          </cell>
          <cell r="E68" t="str">
            <v>500G</v>
          </cell>
          <cell r="F68" t="str">
            <v>15BOX</v>
          </cell>
          <cell r="G68">
            <v>1180</v>
          </cell>
          <cell r="H68">
            <v>1500</v>
          </cell>
        </row>
        <row r="69">
          <cell r="C69">
            <v>8801052135144</v>
          </cell>
          <cell r="D69" t="str">
            <v>돼지불고기양념</v>
          </cell>
          <cell r="E69" t="str">
            <v>250G</v>
          </cell>
          <cell r="F69" t="str">
            <v>20BOX</v>
          </cell>
          <cell r="G69">
            <v>799</v>
          </cell>
          <cell r="H69">
            <v>1000</v>
          </cell>
        </row>
        <row r="70">
          <cell r="C70">
            <v>8801052135151</v>
          </cell>
          <cell r="D70" t="str">
            <v>돼지불고기양념</v>
          </cell>
          <cell r="E70" t="str">
            <v>500G</v>
          </cell>
          <cell r="F70" t="str">
            <v>15BOX</v>
          </cell>
          <cell r="G70">
            <v>1180</v>
          </cell>
          <cell r="H70">
            <v>1450</v>
          </cell>
        </row>
        <row r="71">
          <cell r="C71">
            <v>8801052135519</v>
          </cell>
          <cell r="D71" t="str">
            <v>갈비양념</v>
          </cell>
          <cell r="E71" t="str">
            <v>240G</v>
          </cell>
          <cell r="F71" t="str">
            <v>20BOX</v>
          </cell>
          <cell r="G71">
            <v>799</v>
          </cell>
          <cell r="H71">
            <v>1000</v>
          </cell>
        </row>
        <row r="72">
          <cell r="C72">
            <v>8801052401744</v>
          </cell>
          <cell r="D72" t="str">
            <v>드레싱</v>
          </cell>
          <cell r="E72" t="str">
            <v>515G</v>
          </cell>
          <cell r="F72" t="str">
            <v>12BOX</v>
          </cell>
          <cell r="G72">
            <v>1230</v>
          </cell>
          <cell r="H72">
            <v>1600</v>
          </cell>
        </row>
        <row r="73">
          <cell r="C73">
            <v>8801052910154</v>
          </cell>
          <cell r="D73" t="str">
            <v>튀김가루</v>
          </cell>
          <cell r="E73" t="str">
            <v>1KG</v>
          </cell>
          <cell r="F73" t="str">
            <v>10BOX</v>
          </cell>
          <cell r="G73">
            <v>750</v>
          </cell>
          <cell r="H73">
            <v>950</v>
          </cell>
        </row>
        <row r="74">
          <cell r="C74">
            <v>8801052910253</v>
          </cell>
          <cell r="D74" t="str">
            <v>부침가루</v>
          </cell>
          <cell r="E74" t="str">
            <v>1KG</v>
          </cell>
          <cell r="F74" t="str">
            <v>10BOX</v>
          </cell>
          <cell r="G74">
            <v>750</v>
          </cell>
          <cell r="H74">
            <v>950</v>
          </cell>
        </row>
        <row r="75">
          <cell r="C75">
            <v>8801052910352</v>
          </cell>
          <cell r="D75" t="str">
            <v>핫케익가루</v>
          </cell>
          <cell r="E75" t="str">
            <v>1KG</v>
          </cell>
          <cell r="F75" t="str">
            <v>10BOX</v>
          </cell>
          <cell r="G75">
            <v>1500</v>
          </cell>
          <cell r="H75">
            <v>1950</v>
          </cell>
        </row>
        <row r="76">
          <cell r="C76">
            <v>8801052910451</v>
          </cell>
          <cell r="D76" t="str">
            <v>도너츠가루</v>
          </cell>
          <cell r="E76" t="str">
            <v>1KG</v>
          </cell>
          <cell r="F76" t="str">
            <v>10BOX</v>
          </cell>
          <cell r="G76">
            <v>1500</v>
          </cell>
          <cell r="H76">
            <v>1950</v>
          </cell>
        </row>
        <row r="77">
          <cell r="C77">
            <v>8801052435299</v>
          </cell>
          <cell r="D77" t="str">
            <v>찰고추장</v>
          </cell>
          <cell r="E77" t="str">
            <v>900G</v>
          </cell>
          <cell r="F77" t="str">
            <v>12BOX</v>
          </cell>
          <cell r="G77">
            <v>2680</v>
          </cell>
          <cell r="H77">
            <v>3500</v>
          </cell>
        </row>
        <row r="78">
          <cell r="C78">
            <v>8801052436142</v>
          </cell>
          <cell r="D78" t="str">
            <v>햇살담은조선된장</v>
          </cell>
          <cell r="E78" t="str">
            <v>450G</v>
          </cell>
          <cell r="F78" t="str">
            <v>12BOX</v>
          </cell>
          <cell r="G78">
            <v>1390</v>
          </cell>
          <cell r="H78">
            <v>1800</v>
          </cell>
        </row>
        <row r="79">
          <cell r="C79">
            <v>8801052438092</v>
          </cell>
          <cell r="D79" t="str">
            <v>쌈장(사각)</v>
          </cell>
          <cell r="E79" t="str">
            <v>200G</v>
          </cell>
          <cell r="F79" t="str">
            <v>30BOX</v>
          </cell>
          <cell r="G79">
            <v>620</v>
          </cell>
          <cell r="H79">
            <v>800</v>
          </cell>
        </row>
        <row r="80">
          <cell r="C80">
            <v>8801052403403</v>
          </cell>
          <cell r="D80" t="str">
            <v>스테이크소스</v>
          </cell>
          <cell r="E80" t="str">
            <v>400G</v>
          </cell>
          <cell r="F80" t="str">
            <v>12BOX</v>
          </cell>
          <cell r="G80">
            <v>930</v>
          </cell>
          <cell r="H80">
            <v>1180</v>
          </cell>
        </row>
        <row r="81">
          <cell r="C81">
            <v>8801052203218</v>
          </cell>
          <cell r="D81" t="str">
            <v>멸치액젓골드</v>
          </cell>
          <cell r="E81" t="str">
            <v>500G</v>
          </cell>
          <cell r="F81" t="str">
            <v>24BOX</v>
          </cell>
          <cell r="G81">
            <v>1165</v>
          </cell>
          <cell r="H81">
            <v>1500</v>
          </cell>
        </row>
        <row r="82">
          <cell r="C82">
            <v>8801052431017</v>
          </cell>
          <cell r="D82" t="str">
            <v>사과식초</v>
          </cell>
          <cell r="E82" t="str">
            <v>500ML</v>
          </cell>
          <cell r="F82" t="str">
            <v>24BOX</v>
          </cell>
          <cell r="G82">
            <v>799</v>
          </cell>
          <cell r="H82">
            <v>1000</v>
          </cell>
        </row>
        <row r="83">
          <cell r="C83">
            <v>8801052401522</v>
          </cell>
          <cell r="D83" t="str">
            <v>케찹</v>
          </cell>
          <cell r="E83" t="str">
            <v>500G</v>
          </cell>
          <cell r="F83" t="str">
            <v>20BOX</v>
          </cell>
          <cell r="G83">
            <v>950</v>
          </cell>
          <cell r="H83">
            <v>1200</v>
          </cell>
        </row>
        <row r="84">
          <cell r="C84">
            <v>8801052121123</v>
          </cell>
          <cell r="D84" t="str">
            <v>쇠고기맛나</v>
          </cell>
          <cell r="E84" t="str">
            <v>750G</v>
          </cell>
          <cell r="F84" t="str">
            <v>16BOX</v>
          </cell>
          <cell r="G84">
            <v>4320</v>
          </cell>
          <cell r="H84">
            <v>5400</v>
          </cell>
        </row>
        <row r="85">
          <cell r="C85">
            <v>8801052401430</v>
          </cell>
          <cell r="D85" t="str">
            <v>케찹</v>
          </cell>
          <cell r="E85" t="str">
            <v>1KG</v>
          </cell>
          <cell r="F85" t="str">
            <v>12BOX</v>
          </cell>
          <cell r="G85">
            <v>1502</v>
          </cell>
          <cell r="H85">
            <v>1900</v>
          </cell>
        </row>
        <row r="86">
          <cell r="C86">
            <v>8801052431093</v>
          </cell>
          <cell r="D86" t="str">
            <v>양조식초</v>
          </cell>
          <cell r="E86" t="str">
            <v>500ML</v>
          </cell>
          <cell r="F86" t="str">
            <v>24BOX</v>
          </cell>
          <cell r="G86">
            <v>390</v>
          </cell>
          <cell r="H86">
            <v>500</v>
          </cell>
        </row>
        <row r="87">
          <cell r="C87">
            <v>8801052435091</v>
          </cell>
          <cell r="D87" t="str">
            <v>고추장</v>
          </cell>
          <cell r="E87" t="str">
            <v>3KG</v>
          </cell>
          <cell r="F87" t="str">
            <v>4BOX</v>
          </cell>
          <cell r="G87">
            <v>9060</v>
          </cell>
          <cell r="H87">
            <v>12000</v>
          </cell>
        </row>
        <row r="88">
          <cell r="C88">
            <v>8801052438030</v>
          </cell>
          <cell r="D88" t="str">
            <v>쌈장(비닐)</v>
          </cell>
          <cell r="E88" t="str">
            <v>500G</v>
          </cell>
          <cell r="F88" t="str">
            <v>24BOX</v>
          </cell>
          <cell r="G88">
            <v>920</v>
          </cell>
          <cell r="H88">
            <v>1250</v>
          </cell>
        </row>
        <row r="89">
          <cell r="C89">
            <v>8801052436135</v>
          </cell>
          <cell r="D89" t="str">
            <v>순창된장</v>
          </cell>
          <cell r="E89" t="str">
            <v>2.8KG</v>
          </cell>
          <cell r="F89" t="str">
            <v>4BOX</v>
          </cell>
          <cell r="G89">
            <v>4250</v>
          </cell>
          <cell r="H89">
            <v>5600</v>
          </cell>
        </row>
        <row r="90">
          <cell r="C90">
            <v>8801052438085</v>
          </cell>
          <cell r="D90" t="str">
            <v>순창쌈장</v>
          </cell>
          <cell r="E90" t="str">
            <v>3KG</v>
          </cell>
          <cell r="F90" t="str">
            <v>4BOX</v>
          </cell>
          <cell r="G90">
            <v>6640</v>
          </cell>
          <cell r="H90">
            <v>8800</v>
          </cell>
        </row>
        <row r="91">
          <cell r="C91">
            <v>8801052122083</v>
          </cell>
          <cell r="D91" t="str">
            <v>멸치맛나</v>
          </cell>
          <cell r="E91" t="str">
            <v>1000G</v>
          </cell>
          <cell r="F91" t="str">
            <v>12BOX</v>
          </cell>
          <cell r="G91">
            <v>4400</v>
          </cell>
          <cell r="H91">
            <v>5500</v>
          </cell>
        </row>
        <row r="92">
          <cell r="C92">
            <v>8801052130071</v>
          </cell>
          <cell r="D92" t="str">
            <v>쇠고기감치미</v>
          </cell>
          <cell r="E92" t="str">
            <v>750G</v>
          </cell>
          <cell r="F92" t="str">
            <v>16BOX</v>
          </cell>
          <cell r="G92">
            <v>4760</v>
          </cell>
          <cell r="H92">
            <v>5950</v>
          </cell>
        </row>
        <row r="93">
          <cell r="C93">
            <v>8801052138077</v>
          </cell>
          <cell r="D93" t="str">
            <v>멸치감치미</v>
          </cell>
          <cell r="E93" t="str">
            <v>500G</v>
          </cell>
          <cell r="F93" t="str">
            <v>24BOX</v>
          </cell>
          <cell r="G93">
            <v>2640</v>
          </cell>
          <cell r="H93">
            <v>3300</v>
          </cell>
        </row>
        <row r="94">
          <cell r="C94">
            <v>8801052780016</v>
          </cell>
          <cell r="D94" t="str">
            <v>햇살담은소스간장</v>
          </cell>
          <cell r="E94" t="str">
            <v>485G</v>
          </cell>
          <cell r="F94" t="str">
            <v>24BOX</v>
          </cell>
          <cell r="G94">
            <v>1150</v>
          </cell>
          <cell r="H94">
            <v>1480</v>
          </cell>
        </row>
        <row r="95">
          <cell r="C95">
            <v>8801052404004</v>
          </cell>
          <cell r="D95" t="str">
            <v>보크라이스(쇠)</v>
          </cell>
          <cell r="E95" t="str">
            <v>8G*3</v>
          </cell>
          <cell r="F95" t="str">
            <v>40BOX</v>
          </cell>
          <cell r="G95">
            <v>700</v>
          </cell>
          <cell r="H95">
            <v>950</v>
          </cell>
        </row>
        <row r="96">
          <cell r="C96">
            <v>8801052404011</v>
          </cell>
          <cell r="D96" t="str">
            <v>보크라이스(새우)</v>
          </cell>
          <cell r="E96" t="str">
            <v>8G*3</v>
          </cell>
          <cell r="F96" t="str">
            <v>40BOX</v>
          </cell>
          <cell r="G96">
            <v>700</v>
          </cell>
          <cell r="H96">
            <v>950</v>
          </cell>
        </row>
        <row r="97">
          <cell r="C97">
            <v>8801052404028</v>
          </cell>
          <cell r="D97" t="str">
            <v>보크라이스(야채)</v>
          </cell>
          <cell r="E97" t="str">
            <v>8G*3</v>
          </cell>
          <cell r="F97" t="str">
            <v>40BOX</v>
          </cell>
          <cell r="G97">
            <v>700</v>
          </cell>
          <cell r="H97">
            <v>950</v>
          </cell>
        </row>
        <row r="98">
          <cell r="C98">
            <v>8801060071120</v>
          </cell>
          <cell r="D98" t="str">
            <v>마그넷락스</v>
          </cell>
          <cell r="E98" t="str">
            <v>1800ML</v>
          </cell>
          <cell r="F98" t="str">
            <v>6BOX</v>
          </cell>
          <cell r="G98">
            <v>680</v>
          </cell>
          <cell r="H98">
            <v>990</v>
          </cell>
        </row>
        <row r="99">
          <cell r="C99">
            <v>8801060031230</v>
          </cell>
          <cell r="D99" t="str">
            <v>옥시화이트</v>
          </cell>
          <cell r="E99" t="str">
            <v>1.5kg</v>
          </cell>
          <cell r="F99" t="str">
            <v>8BOX</v>
          </cell>
          <cell r="G99">
            <v>2680</v>
          </cell>
          <cell r="H99">
            <v>3600</v>
          </cell>
        </row>
        <row r="100">
          <cell r="C100">
            <v>8801052401683</v>
          </cell>
          <cell r="D100" t="str">
            <v>옥마가린</v>
          </cell>
          <cell r="E100" t="str">
            <v>225G</v>
          </cell>
          <cell r="F100" t="str">
            <v>12BOX</v>
          </cell>
          <cell r="G100">
            <v>799</v>
          </cell>
          <cell r="H100">
            <v>1000</v>
          </cell>
        </row>
        <row r="101">
          <cell r="C101">
            <v>8801052401041</v>
          </cell>
          <cell r="D101" t="str">
            <v>마요네즈</v>
          </cell>
          <cell r="E101" t="str">
            <v>300G</v>
          </cell>
          <cell r="F101" t="str">
            <v>12BOX</v>
          </cell>
          <cell r="G101">
            <v>799</v>
          </cell>
          <cell r="H101">
            <v>1000</v>
          </cell>
        </row>
        <row r="102">
          <cell r="C102">
            <v>8801052773292</v>
          </cell>
          <cell r="D102" t="str">
            <v>구운소금</v>
          </cell>
          <cell r="E102" t="str">
            <v>500G</v>
          </cell>
          <cell r="F102" t="str">
            <v>20BOX</v>
          </cell>
          <cell r="G102">
            <v>799</v>
          </cell>
          <cell r="H102">
            <v>1000</v>
          </cell>
        </row>
        <row r="103">
          <cell r="C103">
            <v>8801052451015</v>
          </cell>
          <cell r="D103" t="str">
            <v>물엿</v>
          </cell>
          <cell r="E103" t="str">
            <v>700G</v>
          </cell>
          <cell r="F103" t="str">
            <v>20BOX</v>
          </cell>
          <cell r="G103">
            <v>799</v>
          </cell>
          <cell r="H103">
            <v>1000</v>
          </cell>
        </row>
        <row r="104">
          <cell r="C104">
            <v>8801052436012</v>
          </cell>
          <cell r="D104" t="str">
            <v>된장(사)</v>
          </cell>
          <cell r="E104" t="str">
            <v>500G</v>
          </cell>
          <cell r="F104" t="str">
            <v>20BOX</v>
          </cell>
          <cell r="G104">
            <v>880</v>
          </cell>
          <cell r="H104">
            <v>1150</v>
          </cell>
        </row>
        <row r="105">
          <cell r="C105">
            <v>8801052204321</v>
          </cell>
          <cell r="D105" t="str">
            <v>겨자분</v>
          </cell>
          <cell r="E105" t="str">
            <v>220G</v>
          </cell>
          <cell r="F105" t="str">
            <v>24BOX</v>
          </cell>
          <cell r="G105">
            <v>710</v>
          </cell>
          <cell r="H105">
            <v>980</v>
          </cell>
        </row>
        <row r="106">
          <cell r="C106">
            <v>8801052204345</v>
          </cell>
          <cell r="D106" t="str">
            <v>연겨자</v>
          </cell>
          <cell r="E106" t="str">
            <v>110G</v>
          </cell>
          <cell r="F106" t="str">
            <v>24BOX</v>
          </cell>
          <cell r="G106">
            <v>1430</v>
          </cell>
          <cell r="H106">
            <v>1920</v>
          </cell>
        </row>
        <row r="107">
          <cell r="C107">
            <v>8801052204369</v>
          </cell>
          <cell r="D107" t="str">
            <v>와사비분</v>
          </cell>
          <cell r="E107" t="str">
            <v>220G</v>
          </cell>
          <cell r="F107" t="str">
            <v>24BOX</v>
          </cell>
          <cell r="G107">
            <v>1100</v>
          </cell>
          <cell r="H107">
            <v>1520</v>
          </cell>
        </row>
        <row r="108">
          <cell r="C108">
            <v>8801052204383</v>
          </cell>
          <cell r="D108" t="str">
            <v>연와사비</v>
          </cell>
          <cell r="E108" t="str">
            <v>110G</v>
          </cell>
          <cell r="F108" t="str">
            <v>24BOX</v>
          </cell>
          <cell r="G108">
            <v>1430</v>
          </cell>
          <cell r="H108">
            <v>1920</v>
          </cell>
        </row>
        <row r="109">
          <cell r="C109">
            <v>8801052135588</v>
          </cell>
          <cell r="D109" t="str">
            <v>갈비양념</v>
          </cell>
          <cell r="E109" t="str">
            <v>480G</v>
          </cell>
          <cell r="F109" t="str">
            <v>15BOX</v>
          </cell>
          <cell r="G109">
            <v>1090</v>
          </cell>
          <cell r="H109">
            <v>1420</v>
          </cell>
        </row>
        <row r="110">
          <cell r="C110">
            <v>8801052135564</v>
          </cell>
          <cell r="D110" t="str">
            <v>돼지갈비양념</v>
          </cell>
          <cell r="E110" t="str">
            <v>480G</v>
          </cell>
          <cell r="F110" t="str">
            <v>15BOX</v>
          </cell>
          <cell r="G110">
            <v>1090</v>
          </cell>
          <cell r="H110">
            <v>1420</v>
          </cell>
        </row>
        <row r="111">
          <cell r="C111">
            <v>8801052135571</v>
          </cell>
          <cell r="D111" t="str">
            <v>돼지갈비양념</v>
          </cell>
          <cell r="E111" t="str">
            <v>960G</v>
          </cell>
          <cell r="F111" t="str">
            <v>12BOX</v>
          </cell>
          <cell r="G111">
            <v>2080</v>
          </cell>
          <cell r="H111">
            <v>2700</v>
          </cell>
        </row>
        <row r="112">
          <cell r="C112">
            <v>8801052780047</v>
          </cell>
          <cell r="D112" t="str">
            <v>햇살담은국간장</v>
          </cell>
          <cell r="E112" t="str">
            <v>990G</v>
          </cell>
          <cell r="F112" t="str">
            <v>12BOX</v>
          </cell>
          <cell r="G112">
            <v>1700</v>
          </cell>
          <cell r="H112">
            <v>2200</v>
          </cell>
        </row>
        <row r="113">
          <cell r="C113">
            <v>8801052431130</v>
          </cell>
          <cell r="D113" t="str">
            <v>양조식초</v>
          </cell>
          <cell r="E113" t="str">
            <v>1800ML</v>
          </cell>
          <cell r="F113" t="str">
            <v>9BOX</v>
          </cell>
          <cell r="G113">
            <v>800</v>
          </cell>
          <cell r="H113">
            <v>1000</v>
          </cell>
        </row>
        <row r="114">
          <cell r="C114">
            <v>8801052601045</v>
          </cell>
          <cell r="D114" t="str">
            <v>이소말토올리고당</v>
          </cell>
          <cell r="E114" t="str">
            <v>700G</v>
          </cell>
          <cell r="F114" t="str">
            <v>20BOX</v>
          </cell>
          <cell r="G114">
            <v>1000</v>
          </cell>
          <cell r="H114">
            <v>1300</v>
          </cell>
        </row>
        <row r="115">
          <cell r="C115">
            <v>8801052102047</v>
          </cell>
          <cell r="D115" t="str">
            <v>아미노산1.5</v>
          </cell>
          <cell r="E115" t="str">
            <v>1500G</v>
          </cell>
          <cell r="F115" t="str">
            <v>8BOX</v>
          </cell>
          <cell r="G115">
            <v>8500</v>
          </cell>
          <cell r="H115">
            <v>10000</v>
          </cell>
        </row>
        <row r="116">
          <cell r="C116">
            <v>8801052401348</v>
          </cell>
          <cell r="D116" t="str">
            <v>쇠스프1호</v>
          </cell>
          <cell r="E116" t="str">
            <v>1K</v>
          </cell>
          <cell r="F116" t="str">
            <v>10BOX</v>
          </cell>
          <cell r="G116">
            <v>3320</v>
          </cell>
          <cell r="H116">
            <v>4300</v>
          </cell>
        </row>
        <row r="117">
          <cell r="C117">
            <v>8801052401294</v>
          </cell>
          <cell r="D117" t="str">
            <v>양송이스프</v>
          </cell>
          <cell r="E117" t="str">
            <v>1K</v>
          </cell>
          <cell r="F117" t="str">
            <v>10BOX</v>
          </cell>
          <cell r="G117">
            <v>3320</v>
          </cell>
          <cell r="H117">
            <v>4300</v>
          </cell>
        </row>
        <row r="118">
          <cell r="C118">
            <v>8801052403458</v>
          </cell>
          <cell r="D118" t="str">
            <v>크림스프1호</v>
          </cell>
          <cell r="E118" t="str">
            <v>1KG</v>
          </cell>
          <cell r="F118" t="str">
            <v>10BOX</v>
          </cell>
          <cell r="G118">
            <v>2470</v>
          </cell>
          <cell r="H118">
            <v>3200</v>
          </cell>
        </row>
        <row r="119">
          <cell r="C119">
            <v>8801052402079</v>
          </cell>
          <cell r="D119" t="str">
            <v>본카레(중)</v>
          </cell>
          <cell r="E119" t="str">
            <v>1K</v>
          </cell>
          <cell r="F119" t="str">
            <v>10BOX</v>
          </cell>
          <cell r="G119">
            <v>2160</v>
          </cell>
          <cell r="H119">
            <v>2800</v>
          </cell>
        </row>
        <row r="120">
          <cell r="C120">
            <v>8801052435190</v>
          </cell>
          <cell r="D120" t="str">
            <v>명품고추장14</v>
          </cell>
          <cell r="E120" t="str">
            <v>14K</v>
          </cell>
          <cell r="F120" t="str">
            <v>1BOX</v>
          </cell>
          <cell r="G120">
            <v>31000</v>
          </cell>
          <cell r="H120">
            <v>40000</v>
          </cell>
        </row>
        <row r="121">
          <cell r="C121">
            <v>8801052435220</v>
          </cell>
          <cell r="D121" t="str">
            <v>진고추장14</v>
          </cell>
          <cell r="E121" t="str">
            <v>14K</v>
          </cell>
          <cell r="F121" t="str">
            <v>1BOX</v>
          </cell>
          <cell r="G121">
            <v>20800</v>
          </cell>
          <cell r="H121">
            <v>26450</v>
          </cell>
        </row>
        <row r="122">
          <cell r="C122">
            <v>8801052436067</v>
          </cell>
          <cell r="D122" t="str">
            <v>된장14</v>
          </cell>
          <cell r="E122" t="str">
            <v>14K</v>
          </cell>
          <cell r="F122" t="str">
            <v>1BOX</v>
          </cell>
          <cell r="G122">
            <v>11000</v>
          </cell>
          <cell r="H122">
            <v>13800</v>
          </cell>
        </row>
        <row r="123">
          <cell r="C123">
            <v>8801052773148</v>
          </cell>
          <cell r="D123" t="str">
            <v>멸치액젓10</v>
          </cell>
          <cell r="E123" t="str">
            <v>10K</v>
          </cell>
          <cell r="F123" t="str">
            <v>1BOX</v>
          </cell>
          <cell r="G123">
            <v>14450</v>
          </cell>
          <cell r="H123">
            <v>18500</v>
          </cell>
        </row>
        <row r="124">
          <cell r="C124">
            <v>8801052773131</v>
          </cell>
          <cell r="D124" t="str">
            <v>멸치액젓3</v>
          </cell>
          <cell r="E124" t="str">
            <v>3K</v>
          </cell>
          <cell r="F124" t="str">
            <v>4BOX</v>
          </cell>
          <cell r="G124">
            <v>4800</v>
          </cell>
          <cell r="H124">
            <v>6200</v>
          </cell>
        </row>
        <row r="125">
          <cell r="C125">
            <v>8801052773612</v>
          </cell>
          <cell r="D125" t="str">
            <v>구운소금1.2</v>
          </cell>
          <cell r="E125" t="str">
            <v>1200G</v>
          </cell>
          <cell r="F125" t="str">
            <v>10BOX</v>
          </cell>
          <cell r="G125">
            <v>1540</v>
          </cell>
          <cell r="H125">
            <v>2000</v>
          </cell>
        </row>
        <row r="126">
          <cell r="C126">
            <v>8801052773988</v>
          </cell>
          <cell r="D126" t="str">
            <v>햇살간장4L</v>
          </cell>
          <cell r="E126" t="str">
            <v>4000ML</v>
          </cell>
          <cell r="F126" t="str">
            <v>3BOX</v>
          </cell>
          <cell r="G126">
            <v>7600</v>
          </cell>
          <cell r="H126">
            <v>9800</v>
          </cell>
        </row>
        <row r="127">
          <cell r="C127">
            <v>8801052773193</v>
          </cell>
          <cell r="D127" t="str">
            <v>까나리액젓10</v>
          </cell>
          <cell r="E127" t="str">
            <v>10K</v>
          </cell>
          <cell r="F127" t="str">
            <v>1BOX</v>
          </cell>
          <cell r="G127">
            <v>19400</v>
          </cell>
          <cell r="H127">
            <v>25000</v>
          </cell>
        </row>
        <row r="128">
          <cell r="C128">
            <v>8801052413129</v>
          </cell>
          <cell r="D128" t="str">
            <v>스위트콘2.126</v>
          </cell>
          <cell r="E128" t="str">
            <v>2.126G</v>
          </cell>
          <cell r="F128" t="str">
            <v>6BOX</v>
          </cell>
          <cell r="G128">
            <v>4560</v>
          </cell>
          <cell r="H128">
            <v>5900</v>
          </cell>
        </row>
        <row r="129">
          <cell r="C129">
            <v>8801099300246</v>
          </cell>
          <cell r="D129" t="str">
            <v>로즈커프림</v>
          </cell>
          <cell r="E129" t="str">
            <v>1K</v>
          </cell>
          <cell r="F129" t="str">
            <v>12BOX</v>
          </cell>
          <cell r="G129">
            <v>1620</v>
          </cell>
          <cell r="H129">
            <v>2100</v>
          </cell>
        </row>
        <row r="130">
          <cell r="C130">
            <v>8801052413112</v>
          </cell>
          <cell r="D130" t="str">
            <v>스위트콘</v>
          </cell>
          <cell r="E130" t="str">
            <v>340G</v>
          </cell>
          <cell r="F130" t="str">
            <v>24BOX</v>
          </cell>
          <cell r="G130">
            <v>700</v>
          </cell>
          <cell r="H130">
            <v>850</v>
          </cell>
        </row>
        <row r="131">
          <cell r="C131">
            <v>8801052931036</v>
          </cell>
          <cell r="D131" t="str">
            <v>런천미트</v>
          </cell>
          <cell r="E131" t="str">
            <v>200G</v>
          </cell>
          <cell r="F131" t="str">
            <v>48BOX</v>
          </cell>
          <cell r="G131">
            <v>940</v>
          </cell>
          <cell r="H131">
            <v>1000</v>
          </cell>
        </row>
        <row r="132">
          <cell r="C132">
            <v>8801052171050</v>
          </cell>
          <cell r="D132" t="str">
            <v>맛소금</v>
          </cell>
          <cell r="E132" t="str">
            <v>500G</v>
          </cell>
          <cell r="F132" t="str">
            <v>40BOX</v>
          </cell>
          <cell r="G132">
            <v>720</v>
          </cell>
          <cell r="H132">
            <v>930</v>
          </cell>
        </row>
        <row r="133">
          <cell r="C133">
            <v>8801052121093</v>
          </cell>
          <cell r="D133" t="str">
            <v>쇠맛나</v>
          </cell>
          <cell r="E133" t="str">
            <v>300G</v>
          </cell>
          <cell r="F133" t="str">
            <v>40BOX</v>
          </cell>
          <cell r="G133">
            <v>1800</v>
          </cell>
          <cell r="H133">
            <v>2250</v>
          </cell>
        </row>
        <row r="134">
          <cell r="C134">
            <v>8801052130057</v>
          </cell>
          <cell r="D134" t="str">
            <v>쇠감치미</v>
          </cell>
          <cell r="E134" t="str">
            <v>300G</v>
          </cell>
          <cell r="F134" t="str">
            <v>40BOX</v>
          </cell>
          <cell r="G134">
            <v>2160</v>
          </cell>
          <cell r="H134">
            <v>2700</v>
          </cell>
        </row>
        <row r="135">
          <cell r="C135">
            <v>8801052150031</v>
          </cell>
          <cell r="D135" t="str">
            <v>그린스위트</v>
          </cell>
          <cell r="E135" t="str">
            <v>200G</v>
          </cell>
          <cell r="F135" t="str">
            <v>20BOX</v>
          </cell>
          <cell r="G135">
            <v>3090</v>
          </cell>
          <cell r="H135">
            <v>4000</v>
          </cell>
        </row>
        <row r="136">
          <cell r="C136">
            <v>8801052901015</v>
          </cell>
          <cell r="D136" t="str">
            <v>쌀엿</v>
          </cell>
          <cell r="E136" t="str">
            <v>700G</v>
          </cell>
          <cell r="F136" t="str">
            <v>20BOX</v>
          </cell>
          <cell r="G136">
            <v>1430</v>
          </cell>
          <cell r="H136">
            <v>1850</v>
          </cell>
        </row>
        <row r="137">
          <cell r="C137">
            <v>8801052435015</v>
          </cell>
          <cell r="D137" t="str">
            <v>고추장(사)</v>
          </cell>
          <cell r="E137" t="str">
            <v>500G</v>
          </cell>
          <cell r="F137" t="str">
            <v>20BOX</v>
          </cell>
          <cell r="G137">
            <v>2140</v>
          </cell>
          <cell r="H137">
            <v>2800</v>
          </cell>
        </row>
        <row r="138">
          <cell r="C138">
            <v>8801052435046</v>
          </cell>
          <cell r="D138" t="str">
            <v>고추장(비)</v>
          </cell>
          <cell r="E138" t="str">
            <v>500G</v>
          </cell>
          <cell r="F138" t="str">
            <v>24BOX</v>
          </cell>
          <cell r="G138">
            <v>1465</v>
          </cell>
          <cell r="H138">
            <v>1900</v>
          </cell>
        </row>
        <row r="139">
          <cell r="C139">
            <v>8801052436036</v>
          </cell>
          <cell r="D139" t="str">
            <v>된장(비)</v>
          </cell>
          <cell r="E139" t="str">
            <v>500G</v>
          </cell>
          <cell r="F139" t="str">
            <v>24BOX</v>
          </cell>
          <cell r="G139">
            <v>640</v>
          </cell>
          <cell r="H139">
            <v>850</v>
          </cell>
        </row>
        <row r="140">
          <cell r="C140">
            <v>8801052438016</v>
          </cell>
          <cell r="D140" t="str">
            <v>쌈장(사)</v>
          </cell>
          <cell r="E140" t="str">
            <v>500G</v>
          </cell>
          <cell r="F140" t="str">
            <v>20BOX</v>
          </cell>
          <cell r="G140">
            <v>1440</v>
          </cell>
          <cell r="H140">
            <v>1900</v>
          </cell>
        </row>
        <row r="141">
          <cell r="C141">
            <v>8801052135557</v>
          </cell>
          <cell r="D141" t="str">
            <v>돼지갈비양념</v>
          </cell>
          <cell r="E141" t="str">
            <v>240G</v>
          </cell>
          <cell r="F141" t="str">
            <v>20BOX</v>
          </cell>
          <cell r="G141">
            <v>799</v>
          </cell>
          <cell r="H141">
            <v>1000</v>
          </cell>
        </row>
        <row r="142">
          <cell r="C142">
            <v>8801052431338</v>
          </cell>
          <cell r="D142" t="str">
            <v>레몬식초</v>
          </cell>
          <cell r="E142" t="str">
            <v>900ML</v>
          </cell>
          <cell r="F142" t="str">
            <v>12BOX</v>
          </cell>
          <cell r="G142">
            <v>1000</v>
          </cell>
          <cell r="H142">
            <v>1300</v>
          </cell>
        </row>
        <row r="143">
          <cell r="C143">
            <v>8801052431314</v>
          </cell>
          <cell r="D143" t="str">
            <v>2배사과</v>
          </cell>
          <cell r="E143" t="str">
            <v>1800ML</v>
          </cell>
          <cell r="F143" t="str">
            <v>9BOX</v>
          </cell>
          <cell r="G143">
            <v>2470</v>
          </cell>
          <cell r="H143">
            <v>3200</v>
          </cell>
        </row>
        <row r="144">
          <cell r="C144">
            <v>8801052401034</v>
          </cell>
          <cell r="D144" t="str">
            <v>마요네즈</v>
          </cell>
          <cell r="E144" t="str">
            <v>500G</v>
          </cell>
          <cell r="F144" t="str">
            <v>12BOX</v>
          </cell>
          <cell r="G144">
            <v>1265</v>
          </cell>
          <cell r="H144">
            <v>1600</v>
          </cell>
        </row>
        <row r="145">
          <cell r="C145">
            <v>8801052402864</v>
          </cell>
          <cell r="D145" t="str">
            <v>피자소즈</v>
          </cell>
          <cell r="E145" t="str">
            <v>210G</v>
          </cell>
          <cell r="F145" t="str">
            <v>12BOX</v>
          </cell>
          <cell r="G145">
            <v>1040</v>
          </cell>
          <cell r="H145">
            <v>1320</v>
          </cell>
        </row>
        <row r="146">
          <cell r="C146">
            <v>8801052401645</v>
          </cell>
          <cell r="D146" t="str">
            <v>식마가린</v>
          </cell>
          <cell r="E146" t="str">
            <v>225G</v>
          </cell>
          <cell r="F146" t="str">
            <v>12BOX</v>
          </cell>
          <cell r="G146">
            <v>730</v>
          </cell>
          <cell r="H146">
            <v>920</v>
          </cell>
        </row>
        <row r="147">
          <cell r="C147">
            <v>8801052401300</v>
          </cell>
          <cell r="D147" t="str">
            <v>쇠고기스프</v>
          </cell>
          <cell r="E147" t="str">
            <v>300G</v>
          </cell>
          <cell r="F147" t="str">
            <v>20BOX</v>
          </cell>
          <cell r="G147">
            <v>1600</v>
          </cell>
          <cell r="H147">
            <v>2000</v>
          </cell>
        </row>
        <row r="148">
          <cell r="C148">
            <v>8801052401331</v>
          </cell>
          <cell r="D148" t="str">
            <v>옥수수스프</v>
          </cell>
          <cell r="E148" t="str">
            <v>300G</v>
          </cell>
          <cell r="F148" t="str">
            <v>20BOX</v>
          </cell>
          <cell r="G148">
            <v>1600</v>
          </cell>
          <cell r="H148">
            <v>2000</v>
          </cell>
        </row>
        <row r="149">
          <cell r="C149">
            <v>8801052402154</v>
          </cell>
          <cell r="D149" t="str">
            <v>하이라이스</v>
          </cell>
          <cell r="E149" t="str">
            <v>90G</v>
          </cell>
          <cell r="F149" t="str">
            <v>40BOX</v>
          </cell>
          <cell r="G149">
            <v>560</v>
          </cell>
          <cell r="H149">
            <v>700</v>
          </cell>
        </row>
        <row r="150">
          <cell r="C150">
            <v>8801052201092</v>
          </cell>
          <cell r="D150" t="str">
            <v>청정햇김</v>
          </cell>
          <cell r="E150" t="str">
            <v>8*8</v>
          </cell>
          <cell r="F150" t="str">
            <v>24BOX</v>
          </cell>
          <cell r="G150">
            <v>772</v>
          </cell>
          <cell r="H150">
            <v>1000</v>
          </cell>
        </row>
        <row r="151">
          <cell r="C151">
            <v>8801052202020</v>
          </cell>
          <cell r="D151" t="str">
            <v>미역</v>
          </cell>
          <cell r="E151" t="str">
            <v>100G</v>
          </cell>
          <cell r="F151" t="str">
            <v>24BOX</v>
          </cell>
          <cell r="G151">
            <v>935</v>
          </cell>
          <cell r="H151">
            <v>1100</v>
          </cell>
        </row>
        <row r="152">
          <cell r="C152">
            <v>8801052204079</v>
          </cell>
          <cell r="D152" t="str">
            <v>후추 200g</v>
          </cell>
          <cell r="E152" t="str">
            <v>200g</v>
          </cell>
          <cell r="F152" t="str">
            <v>20box</v>
          </cell>
          <cell r="G152">
            <v>2090</v>
          </cell>
          <cell r="H152">
            <v>2700</v>
          </cell>
        </row>
        <row r="153">
          <cell r="C153">
            <v>8801052204024</v>
          </cell>
          <cell r="D153" t="str">
            <v>순후추50g</v>
          </cell>
          <cell r="E153" t="str">
            <v>50g</v>
          </cell>
          <cell r="F153" t="str">
            <v>24box</v>
          </cell>
          <cell r="G153">
            <v>765</v>
          </cell>
          <cell r="H153">
            <v>900</v>
          </cell>
        </row>
        <row r="154">
          <cell r="C154">
            <v>8801052204031</v>
          </cell>
          <cell r="D154" t="str">
            <v>순후추100g</v>
          </cell>
          <cell r="E154" t="str">
            <v>100g</v>
          </cell>
          <cell r="F154" t="str">
            <v>24BOX</v>
          </cell>
          <cell r="G154">
            <v>1445</v>
          </cell>
          <cell r="H154">
            <v>1700</v>
          </cell>
        </row>
        <row r="155">
          <cell r="C155">
            <v>8801052520162</v>
          </cell>
          <cell r="D155" t="str">
            <v>로즈버드향커피믹스</v>
          </cell>
          <cell r="E155" t="str">
            <v>240G</v>
          </cell>
          <cell r="F155" t="str">
            <v>24BOX</v>
          </cell>
          <cell r="G155">
            <v>1484</v>
          </cell>
          <cell r="H155">
            <v>1980</v>
          </cell>
        </row>
        <row r="156">
          <cell r="C156">
            <v>8801052135625</v>
          </cell>
          <cell r="D156" t="str">
            <v>숯불구이맛갈비양념</v>
          </cell>
          <cell r="E156" t="str">
            <v>240G</v>
          </cell>
          <cell r="F156" t="str">
            <v>20BOX</v>
          </cell>
          <cell r="G156">
            <v>799</v>
          </cell>
          <cell r="H156">
            <v>1000</v>
          </cell>
        </row>
        <row r="157">
          <cell r="C157">
            <v>8801052135632</v>
          </cell>
          <cell r="D157" t="str">
            <v>숯불구이맛갈비양념</v>
          </cell>
          <cell r="E157" t="str">
            <v>480G</v>
          </cell>
          <cell r="F157" t="str">
            <v>15BOX</v>
          </cell>
          <cell r="G157">
            <v>1180</v>
          </cell>
          <cell r="H157">
            <v>1500</v>
          </cell>
        </row>
        <row r="158">
          <cell r="C158">
            <v>8801052135649</v>
          </cell>
          <cell r="D158" t="str">
            <v>숯불구이맛 갈비양념</v>
          </cell>
          <cell r="E158" t="str">
            <v>960G</v>
          </cell>
          <cell r="F158" t="str">
            <v>12BOX</v>
          </cell>
          <cell r="G158">
            <v>2300</v>
          </cell>
          <cell r="H158">
            <v>2950</v>
          </cell>
        </row>
        <row r="159">
          <cell r="C159">
            <v>8801052401997</v>
          </cell>
          <cell r="D159" t="str">
            <v>본카레(순)</v>
          </cell>
          <cell r="E159" t="str">
            <v>90G</v>
          </cell>
          <cell r="F159" t="str">
            <v>40BOX</v>
          </cell>
          <cell r="G159">
            <v>540</v>
          </cell>
          <cell r="H159">
            <v>700</v>
          </cell>
        </row>
        <row r="160">
          <cell r="C160">
            <v>8801052402000</v>
          </cell>
          <cell r="D160" t="str">
            <v>본카레(중)</v>
          </cell>
          <cell r="E160" t="str">
            <v>90G</v>
          </cell>
          <cell r="F160" t="str">
            <v>40BOX</v>
          </cell>
          <cell r="G160">
            <v>540</v>
          </cell>
          <cell r="H160">
            <v>700</v>
          </cell>
        </row>
        <row r="161">
          <cell r="C161">
            <v>8801052402017</v>
          </cell>
          <cell r="D161" t="str">
            <v>본카레(매)</v>
          </cell>
          <cell r="E161" t="str">
            <v>90G</v>
          </cell>
          <cell r="F161" t="str">
            <v>40BOX</v>
          </cell>
          <cell r="G161">
            <v>540</v>
          </cell>
          <cell r="H161">
            <v>700</v>
          </cell>
        </row>
        <row r="162">
          <cell r="C162">
            <v>8801052402024</v>
          </cell>
          <cell r="D162" t="str">
            <v>본카레(쇠)</v>
          </cell>
          <cell r="E162" t="str">
            <v>90G</v>
          </cell>
          <cell r="F162" t="str">
            <v>40BOX</v>
          </cell>
          <cell r="G162">
            <v>695</v>
          </cell>
          <cell r="H162">
            <v>900</v>
          </cell>
        </row>
        <row r="163">
          <cell r="C163">
            <v>8801052084411</v>
          </cell>
          <cell r="D163" t="str">
            <v>햄버거스테이크</v>
          </cell>
          <cell r="E163" t="str">
            <v>185G</v>
          </cell>
          <cell r="F163" t="str">
            <v>20BOX</v>
          </cell>
          <cell r="G163">
            <v>770</v>
          </cell>
          <cell r="H163">
            <v>950</v>
          </cell>
        </row>
        <row r="164">
          <cell r="C164">
            <v>8801052084459</v>
          </cell>
          <cell r="D164" t="str">
            <v>바베큐치킨</v>
          </cell>
          <cell r="E164" t="str">
            <v>185G</v>
          </cell>
          <cell r="F164" t="str">
            <v>20BOX</v>
          </cell>
          <cell r="G164">
            <v>1080</v>
          </cell>
          <cell r="H164">
            <v>1400</v>
          </cell>
        </row>
        <row r="165">
          <cell r="C165">
            <v>8801052801629</v>
          </cell>
          <cell r="D165" t="str">
            <v>고추장</v>
          </cell>
          <cell r="E165" t="str">
            <v>2KG</v>
          </cell>
          <cell r="F165" t="str">
            <v>6BOX</v>
          </cell>
          <cell r="G165">
            <v>6200</v>
          </cell>
          <cell r="H165">
            <v>8100</v>
          </cell>
        </row>
        <row r="166">
          <cell r="C166">
            <v>8801052436319</v>
          </cell>
          <cell r="D166" t="str">
            <v>된장</v>
          </cell>
          <cell r="E166" t="str">
            <v>2KG</v>
          </cell>
          <cell r="F166" t="str">
            <v>6BOX</v>
          </cell>
          <cell r="G166">
            <v>3000</v>
          </cell>
          <cell r="H166">
            <v>3900</v>
          </cell>
        </row>
        <row r="167">
          <cell r="C167">
            <v>8801052438115</v>
          </cell>
          <cell r="D167" t="str">
            <v>쌈장</v>
          </cell>
          <cell r="E167" t="str">
            <v>2KG</v>
          </cell>
          <cell r="F167" t="str">
            <v>6BOX</v>
          </cell>
          <cell r="G167">
            <v>4430</v>
          </cell>
          <cell r="H167">
            <v>5900</v>
          </cell>
        </row>
        <row r="168">
          <cell r="C168">
            <v>8801052084428</v>
          </cell>
          <cell r="D168" t="str">
            <v>미트볼</v>
          </cell>
          <cell r="E168" t="str">
            <v>185G</v>
          </cell>
          <cell r="F168" t="str">
            <v>20BOX</v>
          </cell>
          <cell r="G168">
            <v>770</v>
          </cell>
          <cell r="H168">
            <v>950</v>
          </cell>
        </row>
        <row r="169">
          <cell r="C169">
            <v>8801420038503</v>
          </cell>
          <cell r="D169" t="str">
            <v>청학동참기름</v>
          </cell>
          <cell r="E169" t="str">
            <v>1800ML</v>
          </cell>
          <cell r="F169" t="str">
            <v>6BOX</v>
          </cell>
          <cell r="G169">
            <v>13200</v>
          </cell>
          <cell r="H169">
            <v>16500</v>
          </cell>
        </row>
        <row r="170">
          <cell r="C170">
            <v>8801052015019</v>
          </cell>
          <cell r="D170" t="str">
            <v>마또르뜨쨈(딸기)</v>
          </cell>
          <cell r="E170" t="str">
            <v>300G</v>
          </cell>
          <cell r="F170" t="str">
            <v>15BOX</v>
          </cell>
          <cell r="G170">
            <v>1190</v>
          </cell>
          <cell r="H170">
            <v>1500</v>
          </cell>
        </row>
        <row r="171">
          <cell r="C171">
            <v>8801052015026</v>
          </cell>
          <cell r="D171" t="str">
            <v>마또르쨈(딸기)</v>
          </cell>
          <cell r="E171" t="str">
            <v>500G</v>
          </cell>
          <cell r="F171" t="str">
            <v>12BOX</v>
          </cell>
          <cell r="G171">
            <v>1740</v>
          </cell>
          <cell r="H171">
            <v>2200</v>
          </cell>
        </row>
        <row r="172">
          <cell r="C172">
            <v>8801052015033</v>
          </cell>
          <cell r="D172" t="str">
            <v>마또르쨈(딸기)</v>
          </cell>
          <cell r="E172" t="str">
            <v>800G</v>
          </cell>
          <cell r="F172" t="str">
            <v>12BOX</v>
          </cell>
          <cell r="G172">
            <v>2720</v>
          </cell>
          <cell r="H172">
            <v>3400</v>
          </cell>
        </row>
        <row r="173">
          <cell r="C173">
            <v>8801052015118</v>
          </cell>
          <cell r="D173" t="str">
            <v>마또르쨈(사과)</v>
          </cell>
          <cell r="E173" t="str">
            <v>300G</v>
          </cell>
          <cell r="F173" t="str">
            <v>15BOX</v>
          </cell>
          <cell r="G173">
            <v>1190</v>
          </cell>
          <cell r="H173">
            <v>1500</v>
          </cell>
        </row>
        <row r="174">
          <cell r="C174">
            <v>8801052015125</v>
          </cell>
          <cell r="D174" t="str">
            <v>마또르쨈(사과)</v>
          </cell>
          <cell r="E174" t="str">
            <v>500G</v>
          </cell>
          <cell r="F174" t="str">
            <v>12BOX</v>
          </cell>
          <cell r="G174">
            <v>1740</v>
          </cell>
          <cell r="H174">
            <v>2200</v>
          </cell>
        </row>
        <row r="175">
          <cell r="C175">
            <v>8801052015316</v>
          </cell>
          <cell r="D175" t="str">
            <v>마또르쨈(호박)</v>
          </cell>
          <cell r="E175" t="str">
            <v>300G</v>
          </cell>
          <cell r="F175" t="str">
            <v>15BOX</v>
          </cell>
          <cell r="G175">
            <v>1190</v>
          </cell>
          <cell r="H175">
            <v>1500</v>
          </cell>
        </row>
        <row r="176">
          <cell r="C176">
            <v>8801052015323</v>
          </cell>
          <cell r="D176" t="str">
            <v>마또르쨈(호박)</v>
          </cell>
          <cell r="E176" t="str">
            <v>500G</v>
          </cell>
          <cell r="F176" t="str">
            <v>12BOX</v>
          </cell>
          <cell r="G176">
            <v>1740</v>
          </cell>
          <cell r="H176">
            <v>2200</v>
          </cell>
        </row>
        <row r="177">
          <cell r="C177">
            <v>8801052701295</v>
          </cell>
          <cell r="D177" t="str">
            <v>절임용 구운소금</v>
          </cell>
          <cell r="E177" t="str">
            <v>1500G</v>
          </cell>
          <cell r="F177" t="str">
            <v>10BOX</v>
          </cell>
          <cell r="G177">
            <v>1530</v>
          </cell>
          <cell r="H177">
            <v>2000</v>
          </cell>
        </row>
        <row r="178">
          <cell r="C178">
            <v>8801052701301</v>
          </cell>
          <cell r="D178" t="str">
            <v>절임용 구운소금</v>
          </cell>
          <cell r="E178" t="str">
            <v>3000G</v>
          </cell>
          <cell r="F178" t="str">
            <v>6BOX</v>
          </cell>
          <cell r="G178">
            <v>2400</v>
          </cell>
          <cell r="H178">
            <v>3500</v>
          </cell>
        </row>
        <row r="179">
          <cell r="C179">
            <v>8801052801759</v>
          </cell>
          <cell r="D179" t="str">
            <v>순창초고추장</v>
          </cell>
          <cell r="E179" t="str">
            <v>310G</v>
          </cell>
          <cell r="F179" t="str">
            <v>20BOX</v>
          </cell>
          <cell r="G179">
            <v>920</v>
          </cell>
          <cell r="H179">
            <v>1200</v>
          </cell>
        </row>
        <row r="180">
          <cell r="C180">
            <v>8801052801766</v>
          </cell>
          <cell r="D180" t="str">
            <v>순창 초고추장</v>
          </cell>
          <cell r="E180" t="str">
            <v>530G</v>
          </cell>
          <cell r="F180" t="str">
            <v>20BOX</v>
          </cell>
          <cell r="G180">
            <v>1600</v>
          </cell>
          <cell r="H180">
            <v>2100</v>
          </cell>
        </row>
        <row r="181">
          <cell r="C181">
            <v>8801052401263</v>
          </cell>
          <cell r="D181" t="str">
            <v>양송이스프</v>
          </cell>
          <cell r="E181" t="str">
            <v>80G</v>
          </cell>
          <cell r="F181" t="str">
            <v>40BOX</v>
          </cell>
          <cell r="G181">
            <v>525</v>
          </cell>
          <cell r="H181">
            <v>680</v>
          </cell>
        </row>
        <row r="182">
          <cell r="C182">
            <v>8801052401270</v>
          </cell>
          <cell r="D182" t="str">
            <v>쇠고기스프</v>
          </cell>
          <cell r="E182" t="str">
            <v>80G</v>
          </cell>
          <cell r="F182" t="str">
            <v>40BOX</v>
          </cell>
          <cell r="G182">
            <v>525</v>
          </cell>
          <cell r="H182">
            <v>680</v>
          </cell>
        </row>
        <row r="183">
          <cell r="C183">
            <v>8801052401287</v>
          </cell>
          <cell r="D183" t="str">
            <v>옥수수스프</v>
          </cell>
          <cell r="E183" t="str">
            <v>80G</v>
          </cell>
          <cell r="F183" t="str">
            <v>40BOX</v>
          </cell>
          <cell r="G183">
            <v>525</v>
          </cell>
          <cell r="H183">
            <v>680</v>
          </cell>
        </row>
        <row r="184">
          <cell r="C184">
            <v>8801052401362</v>
          </cell>
          <cell r="D184" t="str">
            <v>크림스프</v>
          </cell>
          <cell r="E184" t="str">
            <v>80G</v>
          </cell>
          <cell r="F184" t="str">
            <v>40BOX</v>
          </cell>
          <cell r="G184">
            <v>525</v>
          </cell>
          <cell r="H184">
            <v>680</v>
          </cell>
        </row>
        <row r="185">
          <cell r="C185">
            <v>8801052401379</v>
          </cell>
          <cell r="D185" t="str">
            <v>야채스프</v>
          </cell>
          <cell r="E185" t="str">
            <v>80G</v>
          </cell>
          <cell r="F185" t="str">
            <v>40BOX</v>
          </cell>
          <cell r="G185">
            <v>525</v>
          </cell>
          <cell r="H185">
            <v>680</v>
          </cell>
        </row>
        <row r="186">
          <cell r="C186">
            <v>8801052402406</v>
          </cell>
          <cell r="D186" t="str">
            <v>쇠고기카레(순한)</v>
          </cell>
          <cell r="E186" t="str">
            <v>200G</v>
          </cell>
          <cell r="F186" t="str">
            <v>24BOX</v>
          </cell>
          <cell r="G186">
            <v>400</v>
          </cell>
          <cell r="H186">
            <v>500</v>
          </cell>
        </row>
        <row r="187">
          <cell r="C187">
            <v>8801052402437</v>
          </cell>
          <cell r="D187" t="str">
            <v>쇠고기카레(중간)</v>
          </cell>
          <cell r="E187" t="str">
            <v>200G</v>
          </cell>
          <cell r="F187" t="str">
            <v>24BOX</v>
          </cell>
          <cell r="G187">
            <v>400</v>
          </cell>
          <cell r="H187">
            <v>500</v>
          </cell>
        </row>
        <row r="188">
          <cell r="C188">
            <v>8801052402468</v>
          </cell>
          <cell r="D188" t="str">
            <v>쇠고기카레(매운)</v>
          </cell>
          <cell r="E188" t="str">
            <v>200G</v>
          </cell>
          <cell r="F188" t="str">
            <v>24BOX</v>
          </cell>
          <cell r="G188">
            <v>400</v>
          </cell>
          <cell r="H188">
            <v>500</v>
          </cell>
        </row>
        <row r="189">
          <cell r="C189">
            <v>8801052401188</v>
          </cell>
          <cell r="D189" t="str">
            <v>마요네즈(입)</v>
          </cell>
          <cell r="E189" t="str">
            <v>1000G</v>
          </cell>
          <cell r="F189" t="str">
            <v>10BOX</v>
          </cell>
          <cell r="G189">
            <v>1700</v>
          </cell>
          <cell r="H189">
            <v>2200</v>
          </cell>
        </row>
        <row r="190">
          <cell r="C190">
            <v>8801052402499</v>
          </cell>
          <cell r="D190" t="str">
            <v>간짜장</v>
          </cell>
          <cell r="E190" t="str">
            <v>170G</v>
          </cell>
          <cell r="F190" t="str">
            <v>24BOX</v>
          </cell>
          <cell r="G190">
            <v>409</v>
          </cell>
          <cell r="H190">
            <v>790</v>
          </cell>
        </row>
        <row r="191">
          <cell r="C191">
            <v>8801052451213</v>
          </cell>
          <cell r="D191" t="str">
            <v>요리조청</v>
          </cell>
          <cell r="E191" t="str">
            <v>700G</v>
          </cell>
          <cell r="F191" t="str">
            <v>20BOX</v>
          </cell>
          <cell r="G191">
            <v>770</v>
          </cell>
          <cell r="H191">
            <v>1000</v>
          </cell>
        </row>
        <row r="192">
          <cell r="C192">
            <v>8801052405018</v>
          </cell>
          <cell r="D192" t="str">
            <v>샐러드에좋은(과일</v>
          </cell>
          <cell r="E192" t="str">
            <v>500G</v>
          </cell>
          <cell r="F192" t="str">
            <v>12BOX</v>
          </cell>
          <cell r="G192">
            <v>1770</v>
          </cell>
          <cell r="H192">
            <v>2300</v>
          </cell>
        </row>
        <row r="193">
          <cell r="C193">
            <v>8801052405025</v>
          </cell>
          <cell r="D193" t="str">
            <v>샐러드에좋은(야채</v>
          </cell>
          <cell r="E193" t="str">
            <v>500g</v>
          </cell>
          <cell r="F193" t="str">
            <v>12BOX</v>
          </cell>
          <cell r="G193">
            <v>1770</v>
          </cell>
          <cell r="H193">
            <v>2300</v>
          </cell>
        </row>
        <row r="194">
          <cell r="C194">
            <v>8801052405032</v>
          </cell>
          <cell r="D194" t="str">
            <v>샐러드에좋은(머스</v>
          </cell>
          <cell r="E194" t="str">
            <v>510G</v>
          </cell>
          <cell r="F194" t="str">
            <v>12BOX</v>
          </cell>
          <cell r="G194">
            <v>1770</v>
          </cell>
          <cell r="H194">
            <v>2300</v>
          </cell>
        </row>
        <row r="195">
          <cell r="C195">
            <v>8801052505312</v>
          </cell>
          <cell r="D195" t="str">
            <v>섭산적</v>
          </cell>
          <cell r="E195" t="str">
            <v>800g</v>
          </cell>
          <cell r="F195" t="str">
            <v>10BOX</v>
          </cell>
          <cell r="G195">
            <v>3920</v>
          </cell>
          <cell r="H195">
            <v>5200</v>
          </cell>
        </row>
        <row r="196">
          <cell r="C196">
            <v>8801052910574</v>
          </cell>
          <cell r="D196" t="str">
            <v>빵가루</v>
          </cell>
          <cell r="E196" t="str">
            <v>500G</v>
          </cell>
          <cell r="F196" t="str">
            <v>12BOX</v>
          </cell>
          <cell r="G196">
            <v>800</v>
          </cell>
          <cell r="H196">
            <v>1000</v>
          </cell>
        </row>
        <row r="197">
          <cell r="C197">
            <v>8801052161112</v>
          </cell>
          <cell r="D197" t="str">
            <v>밀가루</v>
          </cell>
          <cell r="E197" t="str">
            <v>1KG</v>
          </cell>
          <cell r="F197" t="str">
            <v>16BOX</v>
          </cell>
          <cell r="G197">
            <v>554</v>
          </cell>
          <cell r="H197">
            <v>700</v>
          </cell>
        </row>
        <row r="198">
          <cell r="C198">
            <v>8801052161129</v>
          </cell>
          <cell r="D198" t="str">
            <v>밀가루</v>
          </cell>
          <cell r="E198" t="str">
            <v>3KG</v>
          </cell>
          <cell r="F198" t="str">
            <v>6BOX</v>
          </cell>
          <cell r="G198">
            <v>1452</v>
          </cell>
          <cell r="H198">
            <v>1900</v>
          </cell>
        </row>
        <row r="199">
          <cell r="C199">
            <v>8801052723075</v>
          </cell>
          <cell r="D199" t="str">
            <v>참빛고운옥수수유</v>
          </cell>
          <cell r="E199" t="str">
            <v>1500ML</v>
          </cell>
          <cell r="F199" t="str">
            <v>12BOX</v>
          </cell>
          <cell r="G199">
            <v>1760</v>
          </cell>
          <cell r="H199">
            <v>2300</v>
          </cell>
        </row>
        <row r="200">
          <cell r="C200">
            <v>8801052723174</v>
          </cell>
          <cell r="D200" t="str">
            <v>참빛고운식용유</v>
          </cell>
          <cell r="E200" t="str">
            <v>1500ML</v>
          </cell>
          <cell r="F200" t="str">
            <v>12BOX</v>
          </cell>
          <cell r="G200">
            <v>1680</v>
          </cell>
          <cell r="H200">
            <v>2200</v>
          </cell>
        </row>
        <row r="201">
          <cell r="C201">
            <v>8801060032114</v>
          </cell>
          <cell r="D201" t="str">
            <v>트래펑</v>
          </cell>
          <cell r="E201" t="str">
            <v>2000ML</v>
          </cell>
          <cell r="F201" t="str">
            <v>6BOX</v>
          </cell>
          <cell r="G201">
            <v>2530</v>
          </cell>
          <cell r="H201">
            <v>3400</v>
          </cell>
        </row>
        <row r="202">
          <cell r="C202">
            <v>8801052433219</v>
          </cell>
          <cell r="D202" t="str">
            <v>수라당면</v>
          </cell>
          <cell r="E202" t="str">
            <v>500g</v>
          </cell>
          <cell r="F202" t="str">
            <v>20BOX</v>
          </cell>
          <cell r="G202">
            <v>2550</v>
          </cell>
          <cell r="H202">
            <v>3300</v>
          </cell>
        </row>
        <row r="203">
          <cell r="C203">
            <v>8801052433226</v>
          </cell>
          <cell r="D203" t="str">
            <v>수라당면</v>
          </cell>
          <cell r="E203" t="str">
            <v>800g</v>
          </cell>
          <cell r="F203" t="str">
            <v>12BOX</v>
          </cell>
          <cell r="G203">
            <v>3860</v>
          </cell>
          <cell r="H203">
            <v>5000</v>
          </cell>
        </row>
        <row r="204">
          <cell r="C204">
            <v>8801052520179</v>
          </cell>
          <cell r="D204" t="str">
            <v>라이트커피믹스</v>
          </cell>
          <cell r="E204" t="str">
            <v>90g</v>
          </cell>
          <cell r="F204" t="str">
            <v>24BOX</v>
          </cell>
          <cell r="G204">
            <v>1100</v>
          </cell>
          <cell r="H204">
            <v>1470</v>
          </cell>
        </row>
        <row r="205">
          <cell r="C205">
            <v>8801052773216</v>
          </cell>
          <cell r="D205" t="str">
            <v>전통재래김8절40매</v>
          </cell>
          <cell r="E205" t="str">
            <v>8절40매</v>
          </cell>
          <cell r="F205" t="str">
            <v>24BOX</v>
          </cell>
          <cell r="G205">
            <v>700</v>
          </cell>
          <cell r="H205">
            <v>900</v>
          </cell>
        </row>
        <row r="206">
          <cell r="C206">
            <v>8801052520448</v>
          </cell>
          <cell r="D206" t="str">
            <v>카페 모카</v>
          </cell>
          <cell r="E206" t="str">
            <v>136g</v>
          </cell>
          <cell r="F206" t="str">
            <v>20BOX</v>
          </cell>
          <cell r="G206">
            <v>1420</v>
          </cell>
          <cell r="H206">
            <v>1900</v>
          </cell>
        </row>
        <row r="207">
          <cell r="C207">
            <v>8801052520193</v>
          </cell>
          <cell r="D207" t="str">
            <v>카페 카푸치노</v>
          </cell>
          <cell r="E207" t="str">
            <v>112g</v>
          </cell>
          <cell r="F207" t="str">
            <v>20BOX</v>
          </cell>
          <cell r="G207">
            <v>1420</v>
          </cell>
          <cell r="H207">
            <v>1900</v>
          </cell>
        </row>
        <row r="208">
          <cell r="C208">
            <v>8801052135779</v>
          </cell>
          <cell r="D208" t="str">
            <v>미정</v>
          </cell>
          <cell r="E208" t="str">
            <v>410ML</v>
          </cell>
          <cell r="F208" t="str">
            <v>12BOX</v>
          </cell>
          <cell r="G208">
            <v>700</v>
          </cell>
          <cell r="H208">
            <v>900</v>
          </cell>
        </row>
        <row r="209">
          <cell r="C209">
            <v>8801052103426</v>
          </cell>
          <cell r="D209" t="str">
            <v>감칠맛나는미원</v>
          </cell>
          <cell r="E209" t="str">
            <v>130g</v>
          </cell>
          <cell r="F209" t="str">
            <v>140B</v>
          </cell>
          <cell r="G209">
            <v>870</v>
          </cell>
          <cell r="H209">
            <v>1150</v>
          </cell>
        </row>
        <row r="210">
          <cell r="C210">
            <v>8801052103433</v>
          </cell>
          <cell r="D210" t="str">
            <v>감칠맛나는미원</v>
          </cell>
          <cell r="E210" t="str">
            <v>280g</v>
          </cell>
          <cell r="F210" t="str">
            <v>70B</v>
          </cell>
          <cell r="G210">
            <v>1860</v>
          </cell>
          <cell r="H210">
            <v>2450</v>
          </cell>
        </row>
        <row r="211">
          <cell r="C211">
            <v>8801052103452</v>
          </cell>
          <cell r="D211" t="str">
            <v>감칠맛나는미원</v>
          </cell>
          <cell r="E211" t="str">
            <v>500g</v>
          </cell>
          <cell r="F211" t="str">
            <v>40BOX</v>
          </cell>
          <cell r="G211">
            <v>3150</v>
          </cell>
          <cell r="H211">
            <v>4150</v>
          </cell>
        </row>
        <row r="212">
          <cell r="C212">
            <v>8801052103471</v>
          </cell>
          <cell r="D212" t="str">
            <v>감칠맛나는미원</v>
          </cell>
          <cell r="E212" t="str">
            <v>850g</v>
          </cell>
          <cell r="F212" t="str">
            <v>20BOX</v>
          </cell>
          <cell r="G212">
            <v>5250</v>
          </cell>
          <cell r="H212">
            <v>6950</v>
          </cell>
        </row>
        <row r="213">
          <cell r="C213">
            <v>8801052103495</v>
          </cell>
          <cell r="D213" t="str">
            <v>감칠맛나는미원</v>
          </cell>
          <cell r="E213" t="str">
            <v>2kg</v>
          </cell>
          <cell r="F213" t="str">
            <v>6BOX</v>
          </cell>
          <cell r="G213">
            <v>11200</v>
          </cell>
          <cell r="H213">
            <v>14500</v>
          </cell>
        </row>
        <row r="214">
          <cell r="C214">
            <v>8801052150062</v>
          </cell>
          <cell r="D214" t="str">
            <v>그린스위트</v>
          </cell>
          <cell r="E214" t="str">
            <v>1g스틱</v>
          </cell>
          <cell r="F214" t="str">
            <v>24BOX</v>
          </cell>
          <cell r="G214">
            <v>2750</v>
          </cell>
          <cell r="H214">
            <v>3600</v>
          </cell>
        </row>
        <row r="215">
          <cell r="C215">
            <v>8801052773629</v>
          </cell>
          <cell r="D215" t="str">
            <v>그린스위트</v>
          </cell>
          <cell r="E215" t="str">
            <v>타블렛형</v>
          </cell>
          <cell r="F215" t="str">
            <v>48B</v>
          </cell>
          <cell r="G215">
            <v>2940</v>
          </cell>
          <cell r="H215">
            <v>3900</v>
          </cell>
        </row>
        <row r="216">
          <cell r="C216">
            <v>8801052773728</v>
          </cell>
          <cell r="D216" t="str">
            <v>액체육젓</v>
          </cell>
          <cell r="E216" t="str">
            <v>500g</v>
          </cell>
          <cell r="F216" t="str">
            <v>24BOX</v>
          </cell>
          <cell r="G216">
            <v>1160</v>
          </cell>
          <cell r="H216">
            <v>1550</v>
          </cell>
        </row>
        <row r="217">
          <cell r="C217">
            <v>8801052773735</v>
          </cell>
          <cell r="D217" t="str">
            <v>액체육젓</v>
          </cell>
          <cell r="E217" t="str">
            <v>1kg</v>
          </cell>
          <cell r="F217" t="str">
            <v>12BOX</v>
          </cell>
          <cell r="G217">
            <v>2130</v>
          </cell>
          <cell r="H217">
            <v>2850</v>
          </cell>
        </row>
        <row r="218">
          <cell r="C218">
            <v>8801052213200</v>
          </cell>
          <cell r="D218" t="str">
            <v>버섯감치미</v>
          </cell>
          <cell r="E218" t="str">
            <v>300g</v>
          </cell>
          <cell r="F218" t="str">
            <v>40BOX</v>
          </cell>
          <cell r="G218">
            <v>2260</v>
          </cell>
          <cell r="H218">
            <v>3000</v>
          </cell>
        </row>
        <row r="219">
          <cell r="C219">
            <v>8801052213217</v>
          </cell>
          <cell r="D219" t="str">
            <v>버섯감치미</v>
          </cell>
          <cell r="E219" t="str">
            <v>500g</v>
          </cell>
          <cell r="F219" t="str">
            <v>24BOX</v>
          </cell>
          <cell r="G219">
            <v>3660</v>
          </cell>
          <cell r="H219">
            <v>4800</v>
          </cell>
        </row>
        <row r="220">
          <cell r="C220">
            <v>8801052403656</v>
          </cell>
          <cell r="D220" t="str">
            <v>허니머스타드</v>
          </cell>
          <cell r="E220" t="str">
            <v>340g</v>
          </cell>
          <cell r="F220" t="str">
            <v>12BOX</v>
          </cell>
          <cell r="G220">
            <v>1050</v>
          </cell>
          <cell r="H220">
            <v>1400</v>
          </cell>
        </row>
        <row r="221">
          <cell r="C221">
            <v>8801052135328</v>
          </cell>
          <cell r="D221" t="str">
            <v>닭고기양념(매콤한맛)</v>
          </cell>
          <cell r="E221" t="str">
            <v>250g</v>
          </cell>
          <cell r="F221" t="str">
            <v>20BOX</v>
          </cell>
          <cell r="G221">
            <v>754</v>
          </cell>
          <cell r="H221">
            <v>1000</v>
          </cell>
        </row>
        <row r="222">
          <cell r="C222">
            <v>8801052135335</v>
          </cell>
          <cell r="D222" t="str">
            <v>닭고기양념(담백한맛)</v>
          </cell>
          <cell r="E222" t="str">
            <v>250g</v>
          </cell>
          <cell r="F222" t="str">
            <v>20BOX</v>
          </cell>
          <cell r="G222">
            <v>754</v>
          </cell>
          <cell r="H222">
            <v>1000</v>
          </cell>
        </row>
        <row r="223">
          <cell r="C223">
            <v>8801052802022</v>
          </cell>
          <cell r="D223" t="str">
            <v>고운빛매운고추장</v>
          </cell>
          <cell r="E223" t="str">
            <v>500g</v>
          </cell>
          <cell r="F223" t="str">
            <v>20BOX</v>
          </cell>
          <cell r="G223">
            <v>2240</v>
          </cell>
          <cell r="H223">
            <v>3000</v>
          </cell>
        </row>
        <row r="224">
          <cell r="C224">
            <v>8801052802046</v>
          </cell>
          <cell r="D224" t="str">
            <v>고운빛매운고추장</v>
          </cell>
          <cell r="E224" t="str">
            <v>1kg</v>
          </cell>
          <cell r="F224" t="str">
            <v>12BOX</v>
          </cell>
          <cell r="G224">
            <v>3820</v>
          </cell>
          <cell r="H224">
            <v>5100</v>
          </cell>
        </row>
        <row r="225">
          <cell r="C225">
            <v>8801052780108</v>
          </cell>
          <cell r="D225" t="str">
            <v>햇살양조간장</v>
          </cell>
          <cell r="E225" t="str">
            <v>1L</v>
          </cell>
          <cell r="F225" t="str">
            <v>12BOX</v>
          </cell>
          <cell r="G225">
            <v>2870</v>
          </cell>
          <cell r="H225">
            <v>3800</v>
          </cell>
        </row>
        <row r="226">
          <cell r="C226">
            <v>8801052780115</v>
          </cell>
          <cell r="D226" t="str">
            <v>햇살양조간장</v>
          </cell>
          <cell r="E226" t="str">
            <v>1.7L</v>
          </cell>
          <cell r="F226" t="str">
            <v>8BOX</v>
          </cell>
          <cell r="G226">
            <v>4600</v>
          </cell>
          <cell r="H226">
            <v>5900</v>
          </cell>
        </row>
        <row r="227">
          <cell r="C227">
            <v>8801052780078</v>
          </cell>
          <cell r="D227" t="str">
            <v>햇살진간장</v>
          </cell>
          <cell r="E227" t="str">
            <v>1L</v>
          </cell>
          <cell r="F227" t="str">
            <v>12BOX</v>
          </cell>
          <cell r="G227">
            <v>1740</v>
          </cell>
          <cell r="H227">
            <v>2300</v>
          </cell>
        </row>
        <row r="228">
          <cell r="C228">
            <v>8801052780085</v>
          </cell>
          <cell r="D228" t="str">
            <v>햇살진간장</v>
          </cell>
          <cell r="E228" t="str">
            <v>1.7L</v>
          </cell>
          <cell r="F228" t="str">
            <v>8BOX</v>
          </cell>
          <cell r="G228">
            <v>2830</v>
          </cell>
          <cell r="H228">
            <v>3750</v>
          </cell>
        </row>
        <row r="229">
          <cell r="C229">
            <v>8801052780092</v>
          </cell>
          <cell r="D229" t="str">
            <v>햇살진간장</v>
          </cell>
          <cell r="E229" t="str">
            <v>15L</v>
          </cell>
          <cell r="F229" t="str">
            <v>1B</v>
          </cell>
          <cell r="G229">
            <v>14500</v>
          </cell>
          <cell r="H229">
            <v>18000</v>
          </cell>
        </row>
        <row r="230">
          <cell r="C230">
            <v>8801052436340</v>
          </cell>
          <cell r="D230" t="str">
            <v>콩된장</v>
          </cell>
          <cell r="E230" t="str">
            <v>450g</v>
          </cell>
          <cell r="F230" t="str">
            <v>20BOX</v>
          </cell>
          <cell r="G230">
            <v>1430</v>
          </cell>
          <cell r="H230">
            <v>1900</v>
          </cell>
        </row>
        <row r="231">
          <cell r="C231">
            <v>8801052436357</v>
          </cell>
          <cell r="D231" t="str">
            <v>콩된장</v>
          </cell>
          <cell r="E231" t="str">
            <v>900g</v>
          </cell>
          <cell r="F231" t="str">
            <v>12BOX</v>
          </cell>
          <cell r="G231">
            <v>2700</v>
          </cell>
          <cell r="H231">
            <v>3600</v>
          </cell>
        </row>
        <row r="232">
          <cell r="C232">
            <v>8801052404103</v>
          </cell>
          <cell r="D232" t="str">
            <v>보크라이스짜장</v>
          </cell>
          <cell r="E232" t="str">
            <v>8G*3</v>
          </cell>
          <cell r="F232">
            <v>40</v>
          </cell>
          <cell r="G232">
            <v>800</v>
          </cell>
          <cell r="H232">
            <v>980</v>
          </cell>
        </row>
        <row r="233">
          <cell r="C233">
            <v>8801052404097</v>
          </cell>
          <cell r="D233" t="str">
            <v>보크라이스김치</v>
          </cell>
          <cell r="E233" t="str">
            <v>8G*3</v>
          </cell>
          <cell r="F233">
            <v>40</v>
          </cell>
          <cell r="G233">
            <v>800</v>
          </cell>
          <cell r="H233">
            <v>980</v>
          </cell>
        </row>
        <row r="234">
          <cell r="C234">
            <v>8801052901091</v>
          </cell>
          <cell r="D234" t="str">
            <v>올리고쌀엿</v>
          </cell>
          <cell r="E234" t="str">
            <v>700G</v>
          </cell>
          <cell r="F234">
            <v>20</v>
          </cell>
          <cell r="G234">
            <v>1800</v>
          </cell>
          <cell r="H234">
            <v>2300</v>
          </cell>
        </row>
        <row r="235">
          <cell r="C235">
            <v>8801052901107</v>
          </cell>
          <cell r="D235" t="str">
            <v>올리고쌀엿</v>
          </cell>
          <cell r="E235" t="str">
            <v>1.2KG</v>
          </cell>
          <cell r="F235">
            <v>12</v>
          </cell>
          <cell r="G235">
            <v>2800</v>
          </cell>
          <cell r="H235">
            <v>3600</v>
          </cell>
        </row>
        <row r="236">
          <cell r="C236">
            <v>8801052520230</v>
          </cell>
          <cell r="D236" t="str">
            <v>카페카라멜라</v>
          </cell>
          <cell r="E236" t="str">
            <v>136G</v>
          </cell>
          <cell r="F236">
            <v>20</v>
          </cell>
          <cell r="G236">
            <v>1420</v>
          </cell>
          <cell r="H236">
            <v>1900</v>
          </cell>
        </row>
        <row r="237">
          <cell r="C237">
            <v>8801052780146</v>
          </cell>
          <cell r="D237" t="str">
            <v>햇살진간장</v>
          </cell>
          <cell r="E237" t="str">
            <v>3.6L</v>
          </cell>
          <cell r="F237">
            <v>4</v>
          </cell>
          <cell r="G237">
            <v>5600</v>
          </cell>
          <cell r="H237">
            <v>7200</v>
          </cell>
        </row>
        <row r="238">
          <cell r="C238">
            <v>8801052520209</v>
          </cell>
          <cell r="D238" t="str">
            <v>카페비엔나</v>
          </cell>
          <cell r="E238" t="str">
            <v>136G</v>
          </cell>
          <cell r="F238">
            <v>20</v>
          </cell>
          <cell r="G238">
            <v>1420</v>
          </cell>
          <cell r="H238">
            <v>1900</v>
          </cell>
        </row>
        <row r="239">
          <cell r="C239">
            <v>8801052431437</v>
          </cell>
          <cell r="D239" t="str">
            <v>매실홍초</v>
          </cell>
          <cell r="E239" t="str">
            <v>500ML</v>
          </cell>
          <cell r="F239">
            <v>10</v>
          </cell>
          <cell r="G239">
            <v>4500</v>
          </cell>
          <cell r="H239">
            <v>6000</v>
          </cell>
        </row>
        <row r="240">
          <cell r="C240">
            <v>8801052802084</v>
          </cell>
          <cell r="D240" t="str">
            <v>매운고추장</v>
          </cell>
          <cell r="E240" t="str">
            <v>3KG</v>
          </cell>
          <cell r="F240">
            <v>4</v>
          </cell>
          <cell r="G240">
            <v>9890</v>
          </cell>
          <cell r="H240">
            <v>12800</v>
          </cell>
        </row>
        <row r="241">
          <cell r="C241">
            <v>8801052802060</v>
          </cell>
          <cell r="D241" t="str">
            <v>매운고추장</v>
          </cell>
          <cell r="E241" t="str">
            <v>7KG</v>
          </cell>
          <cell r="F241">
            <v>2</v>
          </cell>
          <cell r="G241">
            <v>20500</v>
          </cell>
          <cell r="H241">
            <v>27500</v>
          </cell>
        </row>
        <row r="242">
          <cell r="D242" t="str">
            <v>숯불떡갈비(레또르트)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종합 (2)"/>
      <sheetName val="미수종합"/>
      <sheetName val="장부미수"/>
      <sheetName val="분류별"/>
      <sheetName val="종합"/>
      <sheetName val="용인,대구권"/>
      <sheetName val="센타,프랜"/>
      <sheetName val="실적이관"/>
      <sheetName val="매출"/>
      <sheetName val="이관"/>
      <sheetName val="Sheet1"/>
      <sheetName val="세금서"/>
      <sheetName val="웹"/>
      <sheetName val="이월정리"/>
      <sheetName val="2월1일매입"/>
    </sheetNames>
    <sheetDataSet>
      <sheetData sheetId="0"/>
      <sheetData sheetId="1"/>
      <sheetData sheetId="2">
        <row r="2">
          <cell r="A2">
            <v>2930541</v>
          </cell>
          <cell r="B2">
            <v>1</v>
          </cell>
          <cell r="C2" t="str">
            <v xml:space="preserve">이마트가양점                  </v>
          </cell>
          <cell r="D2">
            <v>13415600</v>
          </cell>
          <cell r="E2">
            <v>13415601</v>
          </cell>
          <cell r="F2">
            <v>14790752</v>
          </cell>
          <cell r="G2">
            <v>0</v>
          </cell>
        </row>
        <row r="3">
          <cell r="A3">
            <v>1918892</v>
          </cell>
          <cell r="B3">
            <v>2</v>
          </cell>
          <cell r="C3" t="str">
            <v xml:space="preserve">이마트구로점                  </v>
          </cell>
          <cell r="D3">
            <v>9855120</v>
          </cell>
          <cell r="E3">
            <v>9855114</v>
          </cell>
          <cell r="F3">
            <v>8971147</v>
          </cell>
          <cell r="G3">
            <v>0</v>
          </cell>
        </row>
        <row r="4">
          <cell r="A4">
            <v>4008985</v>
          </cell>
          <cell r="B4">
            <v>3</v>
          </cell>
          <cell r="C4" t="str">
            <v xml:space="preserve">이마트김천점                  </v>
          </cell>
          <cell r="D4">
            <v>4251280</v>
          </cell>
          <cell r="E4">
            <v>6013799</v>
          </cell>
          <cell r="F4">
            <v>2725366</v>
          </cell>
          <cell r="G4">
            <v>0</v>
          </cell>
        </row>
        <row r="5">
          <cell r="A5">
            <v>3405632</v>
          </cell>
          <cell r="B5">
            <v>4</v>
          </cell>
          <cell r="C5" t="str">
            <v xml:space="preserve">이마트남원점                  </v>
          </cell>
          <cell r="D5">
            <v>5512430</v>
          </cell>
          <cell r="E5">
            <v>5365774</v>
          </cell>
          <cell r="F5">
            <v>2155891</v>
          </cell>
          <cell r="G5">
            <v>0</v>
          </cell>
        </row>
        <row r="6">
          <cell r="A6">
            <v>3514803</v>
          </cell>
          <cell r="B6">
            <v>5</v>
          </cell>
          <cell r="C6" t="str">
            <v xml:space="preserve">이마트동광주점                </v>
          </cell>
          <cell r="D6">
            <v>3468080</v>
          </cell>
          <cell r="E6">
            <v>3453418</v>
          </cell>
          <cell r="F6">
            <v>4337746</v>
          </cell>
          <cell r="G6">
            <v>0</v>
          </cell>
        </row>
        <row r="7">
          <cell r="A7">
            <v>3618200</v>
          </cell>
          <cell r="B7">
            <v>6</v>
          </cell>
          <cell r="C7" t="str">
            <v xml:space="preserve">이마트마산(E)                 </v>
          </cell>
          <cell r="D7">
            <v>1885620</v>
          </cell>
          <cell r="E7">
            <v>1885618</v>
          </cell>
          <cell r="F7">
            <v>1697224</v>
          </cell>
          <cell r="G7">
            <v>0</v>
          </cell>
        </row>
        <row r="8">
          <cell r="A8">
            <v>3516410</v>
          </cell>
          <cell r="B8">
            <v>7</v>
          </cell>
          <cell r="C8" t="str">
            <v xml:space="preserve">이마트목포점                  </v>
          </cell>
          <cell r="D8">
            <v>5595040</v>
          </cell>
          <cell r="E8">
            <v>5595040</v>
          </cell>
          <cell r="F8">
            <v>1077164</v>
          </cell>
          <cell r="G8">
            <v>0</v>
          </cell>
        </row>
        <row r="9">
          <cell r="A9">
            <v>2930120</v>
          </cell>
          <cell r="B9">
            <v>8</v>
          </cell>
          <cell r="C9" t="str">
            <v xml:space="preserve">이마트부천역사                </v>
          </cell>
          <cell r="D9">
            <v>7219520</v>
          </cell>
          <cell r="E9">
            <v>7217863</v>
          </cell>
          <cell r="F9">
            <v>11076510</v>
          </cell>
          <cell r="G9">
            <v>0</v>
          </cell>
        </row>
        <row r="10">
          <cell r="A10">
            <v>1339086</v>
          </cell>
          <cell r="B10">
            <v>9</v>
          </cell>
          <cell r="C10" t="str">
            <v xml:space="preserve">이마트부평점                  </v>
          </cell>
          <cell r="D10">
            <v>8968520</v>
          </cell>
          <cell r="E10">
            <v>8900880</v>
          </cell>
          <cell r="F10">
            <v>7101349</v>
          </cell>
          <cell r="G10">
            <v>0</v>
          </cell>
        </row>
        <row r="11">
          <cell r="A11">
            <v>1507780</v>
          </cell>
          <cell r="B11">
            <v>10</v>
          </cell>
          <cell r="C11" t="str">
            <v xml:space="preserve">이마트분당점                  </v>
          </cell>
          <cell r="D11">
            <v>11316800</v>
          </cell>
          <cell r="E11">
            <v>11244309</v>
          </cell>
          <cell r="F11">
            <v>11292210</v>
          </cell>
          <cell r="G11">
            <v>0</v>
          </cell>
        </row>
        <row r="12">
          <cell r="A12">
            <v>3012880</v>
          </cell>
          <cell r="B12">
            <v>11</v>
          </cell>
          <cell r="C12" t="str">
            <v xml:space="preserve">이마트산본점                  </v>
          </cell>
          <cell r="D12">
            <v>7873360</v>
          </cell>
          <cell r="E12">
            <v>7873355</v>
          </cell>
          <cell r="F12">
            <v>7365754</v>
          </cell>
          <cell r="G12">
            <v>0</v>
          </cell>
        </row>
        <row r="13">
          <cell r="A13">
            <v>1818000</v>
          </cell>
          <cell r="B13">
            <v>12</v>
          </cell>
          <cell r="C13" t="str">
            <v xml:space="preserve">이마트상봉점                  </v>
          </cell>
          <cell r="D13">
            <v>7216880</v>
          </cell>
          <cell r="E13">
            <v>7216879</v>
          </cell>
          <cell r="F13">
            <v>8947518</v>
          </cell>
          <cell r="G13">
            <v>0</v>
          </cell>
        </row>
        <row r="14">
          <cell r="A14">
            <v>4508031</v>
          </cell>
          <cell r="B14">
            <v>13</v>
          </cell>
          <cell r="C14" t="str">
            <v xml:space="preserve">이마트서부산점                </v>
          </cell>
          <cell r="D14">
            <v>16169120</v>
          </cell>
          <cell r="E14">
            <v>28687915</v>
          </cell>
          <cell r="F14">
            <v>8023869</v>
          </cell>
          <cell r="G14">
            <v>0</v>
          </cell>
        </row>
        <row r="15">
          <cell r="A15">
            <v>4015244</v>
          </cell>
          <cell r="B15">
            <v>14</v>
          </cell>
          <cell r="C15" t="str">
            <v xml:space="preserve">이마트성서점                  </v>
          </cell>
          <cell r="D15">
            <v>12732060</v>
          </cell>
          <cell r="E15">
            <v>12732050</v>
          </cell>
          <cell r="F15">
            <v>7635064</v>
          </cell>
          <cell r="G15">
            <v>0</v>
          </cell>
        </row>
        <row r="16">
          <cell r="A16">
            <v>3013186</v>
          </cell>
          <cell r="B16">
            <v>15</v>
          </cell>
          <cell r="C16" t="str">
            <v xml:space="preserve">이마트시화점                  </v>
          </cell>
          <cell r="D16">
            <v>4558840</v>
          </cell>
          <cell r="E16">
            <v>4558839</v>
          </cell>
          <cell r="F16">
            <v>2830676</v>
          </cell>
          <cell r="G16">
            <v>0</v>
          </cell>
        </row>
        <row r="17">
          <cell r="A17">
            <v>2930364</v>
          </cell>
          <cell r="B17">
            <v>16</v>
          </cell>
          <cell r="C17" t="str">
            <v xml:space="preserve">이마트신월(E)                 </v>
          </cell>
          <cell r="D17">
            <v>1468940</v>
          </cell>
          <cell r="E17">
            <v>1458372</v>
          </cell>
          <cell r="F17">
            <v>2182981</v>
          </cell>
          <cell r="G17">
            <v>0</v>
          </cell>
        </row>
        <row r="18">
          <cell r="A18">
            <v>1338972</v>
          </cell>
          <cell r="B18">
            <v>17</v>
          </cell>
          <cell r="C18" t="str">
            <v xml:space="preserve">이마트안산점                  </v>
          </cell>
          <cell r="D18">
            <v>8481880</v>
          </cell>
          <cell r="E18">
            <v>8481880</v>
          </cell>
          <cell r="F18">
            <v>5025144</v>
          </cell>
          <cell r="G18">
            <v>0</v>
          </cell>
        </row>
        <row r="19">
          <cell r="A19">
            <v>3007922</v>
          </cell>
          <cell r="B19">
            <v>18</v>
          </cell>
          <cell r="C19" t="str">
            <v xml:space="preserve">이마트안양점                  </v>
          </cell>
          <cell r="D19">
            <v>3962200</v>
          </cell>
          <cell r="E19">
            <v>3923281</v>
          </cell>
          <cell r="F19">
            <v>9288681</v>
          </cell>
          <cell r="G19">
            <v>0</v>
          </cell>
        </row>
        <row r="20">
          <cell r="A20">
            <v>3807985</v>
          </cell>
          <cell r="B20">
            <v>19</v>
          </cell>
          <cell r="C20" t="str">
            <v xml:space="preserve">이마트원주점                  </v>
          </cell>
          <cell r="D20">
            <v>4257440</v>
          </cell>
          <cell r="E20">
            <v>4257435</v>
          </cell>
          <cell r="F20">
            <v>5344187</v>
          </cell>
          <cell r="G20">
            <v>0</v>
          </cell>
        </row>
        <row r="21">
          <cell r="A21">
            <v>3013241</v>
          </cell>
          <cell r="B21">
            <v>20</v>
          </cell>
          <cell r="C21" t="str">
            <v xml:space="preserve">이마트이천점                  </v>
          </cell>
          <cell r="D21">
            <v>3722840</v>
          </cell>
          <cell r="E21">
            <v>3722840</v>
          </cell>
          <cell r="F21">
            <v>2604842</v>
          </cell>
          <cell r="G21">
            <v>0</v>
          </cell>
        </row>
        <row r="22">
          <cell r="A22">
            <v>2921190</v>
          </cell>
          <cell r="B22">
            <v>21</v>
          </cell>
          <cell r="C22" t="str">
            <v xml:space="preserve">이마트인천점                  </v>
          </cell>
          <cell r="D22">
            <v>11663344</v>
          </cell>
          <cell r="E22">
            <v>11649101</v>
          </cell>
          <cell r="F22">
            <v>9949479</v>
          </cell>
          <cell r="G22">
            <v>0</v>
          </cell>
        </row>
        <row r="23">
          <cell r="A23">
            <v>1338551</v>
          </cell>
          <cell r="B23">
            <v>22</v>
          </cell>
          <cell r="C23" t="str">
            <v xml:space="preserve">이마트일산점                  </v>
          </cell>
          <cell r="D23">
            <v>10407320</v>
          </cell>
          <cell r="E23">
            <v>10401336</v>
          </cell>
          <cell r="F23">
            <v>7882562</v>
          </cell>
          <cell r="G23">
            <v>0</v>
          </cell>
        </row>
        <row r="24">
          <cell r="A24">
            <v>3409046</v>
          </cell>
          <cell r="B24">
            <v>23</v>
          </cell>
          <cell r="C24" t="str">
            <v xml:space="preserve">이마트전주점                  </v>
          </cell>
          <cell r="D24">
            <v>10099760</v>
          </cell>
          <cell r="E24">
            <v>9558038</v>
          </cell>
          <cell r="F24">
            <v>8108827</v>
          </cell>
          <cell r="G24">
            <v>0</v>
          </cell>
        </row>
        <row r="25">
          <cell r="A25">
            <v>4103286</v>
          </cell>
          <cell r="B25">
            <v>24</v>
          </cell>
          <cell r="C25" t="str">
            <v xml:space="preserve">이마트제주점                  </v>
          </cell>
          <cell r="D25">
            <v>6242390</v>
          </cell>
          <cell r="E25">
            <v>6242378</v>
          </cell>
          <cell r="F25">
            <v>8568718</v>
          </cell>
          <cell r="G25">
            <v>0</v>
          </cell>
        </row>
        <row r="26">
          <cell r="A26">
            <v>4407369</v>
          </cell>
          <cell r="B26">
            <v>25</v>
          </cell>
          <cell r="C26" t="str">
            <v xml:space="preserve">이마트진주점                  </v>
          </cell>
          <cell r="D26">
            <v>3341580</v>
          </cell>
          <cell r="E26">
            <v>3341580</v>
          </cell>
          <cell r="F26">
            <v>2484258</v>
          </cell>
          <cell r="G26">
            <v>0</v>
          </cell>
        </row>
        <row r="27">
          <cell r="A27">
            <v>1326455</v>
          </cell>
          <cell r="B27">
            <v>26</v>
          </cell>
          <cell r="C27" t="str">
            <v xml:space="preserve">이마트창동점                  </v>
          </cell>
          <cell r="D27">
            <v>10473320</v>
          </cell>
          <cell r="E27">
            <v>10473321</v>
          </cell>
          <cell r="F27">
            <v>10121794</v>
          </cell>
          <cell r="G27">
            <v>0</v>
          </cell>
        </row>
        <row r="28">
          <cell r="A28">
            <v>4603650</v>
          </cell>
          <cell r="B28">
            <v>27</v>
          </cell>
          <cell r="C28" t="str">
            <v xml:space="preserve">이마트천주점                  </v>
          </cell>
          <cell r="D28">
            <v>6962120</v>
          </cell>
          <cell r="E28">
            <v>6962120</v>
          </cell>
          <cell r="F28">
            <v>6701177</v>
          </cell>
          <cell r="G28">
            <v>0</v>
          </cell>
        </row>
        <row r="29">
          <cell r="A29">
            <v>1508175</v>
          </cell>
          <cell r="B29">
            <v>28</v>
          </cell>
          <cell r="C29" t="str">
            <v xml:space="preserve">이마트천호점                  </v>
          </cell>
          <cell r="D29">
            <v>8903840</v>
          </cell>
          <cell r="E29">
            <v>8903841</v>
          </cell>
          <cell r="F29">
            <v>9676669</v>
          </cell>
          <cell r="G29">
            <v>0</v>
          </cell>
        </row>
        <row r="30">
          <cell r="A30">
            <v>4513685</v>
          </cell>
          <cell r="B30">
            <v>29</v>
          </cell>
          <cell r="C30" t="str">
            <v xml:space="preserve">이마트해운대점                </v>
          </cell>
          <cell r="D30">
            <v>6152960</v>
          </cell>
          <cell r="E30">
            <v>6152960</v>
          </cell>
          <cell r="F30">
            <v>5655476</v>
          </cell>
          <cell r="G30">
            <v>0</v>
          </cell>
        </row>
        <row r="31">
          <cell r="A31">
            <v>2930556</v>
          </cell>
          <cell r="B31">
            <v>1</v>
          </cell>
          <cell r="C31" t="str">
            <v xml:space="preserve">E-MART 가양점                 </v>
          </cell>
          <cell r="D31">
            <v>93039881</v>
          </cell>
          <cell r="E31">
            <v>94743827</v>
          </cell>
          <cell r="F31">
            <v>4196072</v>
          </cell>
          <cell r="G31">
            <v>49762723</v>
          </cell>
        </row>
        <row r="32">
          <cell r="A32">
            <v>1918904</v>
          </cell>
          <cell r="B32">
            <v>2</v>
          </cell>
          <cell r="C32" t="str">
            <v xml:space="preserve">E-MART 구로점                 </v>
          </cell>
          <cell r="D32">
            <v>85235498</v>
          </cell>
          <cell r="E32">
            <v>84161700</v>
          </cell>
          <cell r="F32">
            <v>3119490</v>
          </cell>
          <cell r="G32">
            <v>40419218</v>
          </cell>
        </row>
        <row r="33">
          <cell r="A33">
            <v>4009822</v>
          </cell>
          <cell r="B33">
            <v>3</v>
          </cell>
          <cell r="C33" t="str">
            <v xml:space="preserve">E-MART 김천점                 </v>
          </cell>
          <cell r="D33">
            <v>32457450</v>
          </cell>
          <cell r="E33">
            <v>30844297</v>
          </cell>
          <cell r="F33">
            <v>1755968</v>
          </cell>
          <cell r="G33">
            <v>18146213</v>
          </cell>
        </row>
        <row r="34">
          <cell r="A34">
            <v>3409027</v>
          </cell>
          <cell r="B34">
            <v>4</v>
          </cell>
          <cell r="C34" t="str">
            <v xml:space="preserve">E-MART 남원점                 </v>
          </cell>
          <cell r="D34">
            <v>23419608</v>
          </cell>
          <cell r="E34">
            <v>23437886</v>
          </cell>
          <cell r="F34">
            <v>1775142</v>
          </cell>
          <cell r="G34">
            <v>17601692</v>
          </cell>
        </row>
        <row r="35">
          <cell r="A35">
            <v>1329810</v>
          </cell>
          <cell r="B35">
            <v>5</v>
          </cell>
          <cell r="C35" t="str">
            <v xml:space="preserve">E-MART 대구센타               </v>
          </cell>
          <cell r="D35">
            <v>69207930</v>
          </cell>
          <cell r="E35">
            <v>0</v>
          </cell>
          <cell r="F35">
            <v>70105530</v>
          </cell>
          <cell r="G35">
            <v>0</v>
          </cell>
        </row>
        <row r="36">
          <cell r="A36">
            <v>1329403</v>
          </cell>
          <cell r="B36">
            <v>6</v>
          </cell>
          <cell r="C36" t="str">
            <v xml:space="preserve">E-MART 대모                   </v>
          </cell>
          <cell r="D36">
            <v>0</v>
          </cell>
          <cell r="E36">
            <v>-5848869</v>
          </cell>
          <cell r="F36">
            <v>-191328104</v>
          </cell>
          <cell r="G36">
            <v>8739478</v>
          </cell>
        </row>
        <row r="37">
          <cell r="A37">
            <v>3515030</v>
          </cell>
          <cell r="B37">
            <v>7</v>
          </cell>
          <cell r="C37" t="str">
            <v xml:space="preserve">E-MART 동광주점               </v>
          </cell>
          <cell r="D37">
            <v>36897285</v>
          </cell>
          <cell r="E37">
            <v>36948582</v>
          </cell>
          <cell r="F37">
            <v>2182012</v>
          </cell>
          <cell r="G37">
            <v>23666727</v>
          </cell>
        </row>
        <row r="38">
          <cell r="A38">
            <v>2923352</v>
          </cell>
          <cell r="B38">
            <v>8</v>
          </cell>
          <cell r="C38" t="str">
            <v xml:space="preserve">E-MART 동인천점               </v>
          </cell>
          <cell r="D38">
            <v>15693750</v>
          </cell>
          <cell r="E38">
            <v>15693750</v>
          </cell>
          <cell r="F38">
            <v>0</v>
          </cell>
          <cell r="G38">
            <v>0</v>
          </cell>
        </row>
        <row r="39">
          <cell r="A39">
            <v>3618215</v>
          </cell>
          <cell r="B39">
            <v>9</v>
          </cell>
          <cell r="C39" t="str">
            <v xml:space="preserve">E-MART 마산(E)                </v>
          </cell>
          <cell r="D39">
            <v>16211536</v>
          </cell>
          <cell r="E39">
            <v>16430667</v>
          </cell>
          <cell r="F39">
            <v>1019187</v>
          </cell>
          <cell r="G39">
            <v>8599835</v>
          </cell>
        </row>
        <row r="40">
          <cell r="A40">
            <v>3516405</v>
          </cell>
          <cell r="B40">
            <v>10</v>
          </cell>
          <cell r="C40" t="str">
            <v xml:space="preserve">E-MART 목포점                 </v>
          </cell>
          <cell r="D40">
            <v>52456418</v>
          </cell>
          <cell r="E40">
            <v>52467213</v>
          </cell>
          <cell r="F40">
            <v>3730930</v>
          </cell>
          <cell r="G40">
            <v>48339408</v>
          </cell>
        </row>
        <row r="41">
          <cell r="A41">
            <v>2930135</v>
          </cell>
          <cell r="B41">
            <v>11</v>
          </cell>
          <cell r="C41" t="str">
            <v xml:space="preserve">E-MART 부천역사               </v>
          </cell>
          <cell r="D41">
            <v>72832263</v>
          </cell>
          <cell r="E41">
            <v>72617550</v>
          </cell>
          <cell r="F41">
            <v>5041062</v>
          </cell>
          <cell r="G41">
            <v>37711199</v>
          </cell>
        </row>
        <row r="42">
          <cell r="A42">
            <v>2921592</v>
          </cell>
          <cell r="B42">
            <v>12</v>
          </cell>
          <cell r="C42" t="str">
            <v xml:space="preserve">E-MART 부평점                 </v>
          </cell>
          <cell r="D42">
            <v>76861777</v>
          </cell>
          <cell r="E42">
            <v>76856677</v>
          </cell>
          <cell r="F42">
            <v>2946790</v>
          </cell>
          <cell r="G42">
            <v>38181363</v>
          </cell>
        </row>
        <row r="43">
          <cell r="A43">
            <v>1329858</v>
          </cell>
          <cell r="B43">
            <v>13</v>
          </cell>
          <cell r="C43" t="str">
            <v xml:space="preserve">E-MART 분당점                 </v>
          </cell>
          <cell r="D43">
            <v>74740738</v>
          </cell>
          <cell r="E43">
            <v>75263280</v>
          </cell>
          <cell r="F43">
            <v>3136688</v>
          </cell>
          <cell r="G43">
            <v>36036932</v>
          </cell>
        </row>
        <row r="44">
          <cell r="A44">
            <v>3012895</v>
          </cell>
          <cell r="B44">
            <v>14</v>
          </cell>
          <cell r="C44" t="str">
            <v xml:space="preserve">E-MART 산본점                 </v>
          </cell>
          <cell r="D44">
            <v>65722338</v>
          </cell>
          <cell r="E44">
            <v>65766333</v>
          </cell>
          <cell r="F44">
            <v>3486778</v>
          </cell>
          <cell r="G44">
            <v>42875012</v>
          </cell>
        </row>
        <row r="45">
          <cell r="A45">
            <v>1818015</v>
          </cell>
          <cell r="B45">
            <v>15</v>
          </cell>
          <cell r="C45" t="str">
            <v xml:space="preserve">E-MART 상봉점                 </v>
          </cell>
          <cell r="D45">
            <v>69640651</v>
          </cell>
          <cell r="E45">
            <v>69586066</v>
          </cell>
          <cell r="F45">
            <v>3174539</v>
          </cell>
          <cell r="G45">
            <v>38829942</v>
          </cell>
        </row>
        <row r="46">
          <cell r="A46">
            <v>4510699</v>
          </cell>
          <cell r="B46">
            <v>16</v>
          </cell>
          <cell r="C46" t="str">
            <v xml:space="preserve">E-MART 서부산점               </v>
          </cell>
          <cell r="D46">
            <v>93605649</v>
          </cell>
          <cell r="E46">
            <v>81011492</v>
          </cell>
          <cell r="F46">
            <v>3845342</v>
          </cell>
          <cell r="G46">
            <v>47520674</v>
          </cell>
        </row>
        <row r="47">
          <cell r="A47">
            <v>4015333</v>
          </cell>
          <cell r="B47">
            <v>17</v>
          </cell>
          <cell r="C47" t="str">
            <v xml:space="preserve">E-MART 성서점                 </v>
          </cell>
          <cell r="D47">
            <v>75946566</v>
          </cell>
          <cell r="E47">
            <v>76168526</v>
          </cell>
          <cell r="F47">
            <v>3556168</v>
          </cell>
          <cell r="G47">
            <v>43773823</v>
          </cell>
        </row>
        <row r="48">
          <cell r="A48">
            <v>3013191</v>
          </cell>
          <cell r="B48">
            <v>18</v>
          </cell>
          <cell r="C48" t="str">
            <v xml:space="preserve">E-MART 시화점                 </v>
          </cell>
          <cell r="D48">
            <v>37048040</v>
          </cell>
          <cell r="E48">
            <v>37350673</v>
          </cell>
          <cell r="F48">
            <v>2110868</v>
          </cell>
          <cell r="G48">
            <v>24812548</v>
          </cell>
        </row>
        <row r="49">
          <cell r="A49">
            <v>2930379</v>
          </cell>
          <cell r="B49">
            <v>19</v>
          </cell>
          <cell r="C49" t="str">
            <v xml:space="preserve">E-MART 신월(E)                </v>
          </cell>
          <cell r="D49">
            <v>17442276</v>
          </cell>
          <cell r="E49">
            <v>17497098</v>
          </cell>
          <cell r="F49">
            <v>1120087</v>
          </cell>
          <cell r="G49">
            <v>9907449</v>
          </cell>
        </row>
        <row r="50">
          <cell r="A50">
            <v>3012156</v>
          </cell>
          <cell r="B50">
            <v>20</v>
          </cell>
          <cell r="C50" t="str">
            <v xml:space="preserve">E-MART 안산점                 </v>
          </cell>
          <cell r="D50">
            <v>41519031</v>
          </cell>
          <cell r="E50">
            <v>41617519</v>
          </cell>
          <cell r="F50">
            <v>2295011</v>
          </cell>
          <cell r="G50">
            <v>25130810</v>
          </cell>
        </row>
        <row r="51">
          <cell r="A51">
            <v>3012160</v>
          </cell>
          <cell r="B51">
            <v>21</v>
          </cell>
          <cell r="C51" t="str">
            <v xml:space="preserve">E-MART 안양점                 </v>
          </cell>
          <cell r="D51">
            <v>84709440</v>
          </cell>
          <cell r="E51">
            <v>83614601</v>
          </cell>
          <cell r="F51">
            <v>5458071</v>
          </cell>
          <cell r="G51">
            <v>40993678</v>
          </cell>
        </row>
        <row r="52">
          <cell r="A52">
            <v>1326754</v>
          </cell>
          <cell r="B52">
            <v>22</v>
          </cell>
          <cell r="C52" t="str">
            <v xml:space="preserve">E-MART 용인센타               </v>
          </cell>
          <cell r="D52">
            <v>-74282634</v>
          </cell>
          <cell r="E52">
            <v>-2200440</v>
          </cell>
          <cell r="F52">
            <v>-72082194</v>
          </cell>
          <cell r="G52">
            <v>0</v>
          </cell>
        </row>
        <row r="53">
          <cell r="A53">
            <v>3808009</v>
          </cell>
          <cell r="B53">
            <v>23</v>
          </cell>
          <cell r="C53" t="str">
            <v xml:space="preserve">E-MART 원주점                 </v>
          </cell>
          <cell r="D53">
            <v>48979173</v>
          </cell>
          <cell r="E53">
            <v>48987601</v>
          </cell>
          <cell r="F53">
            <v>2225439</v>
          </cell>
          <cell r="G53">
            <v>24229243</v>
          </cell>
        </row>
        <row r="54">
          <cell r="A54">
            <v>3013256</v>
          </cell>
          <cell r="B54">
            <v>24</v>
          </cell>
          <cell r="C54" t="str">
            <v xml:space="preserve">E-MART 이천점                 </v>
          </cell>
          <cell r="D54">
            <v>27700344</v>
          </cell>
          <cell r="E54">
            <v>27928663</v>
          </cell>
          <cell r="F54">
            <v>1647387</v>
          </cell>
          <cell r="G54">
            <v>16739553</v>
          </cell>
        </row>
        <row r="55">
          <cell r="A55">
            <v>2921604</v>
          </cell>
          <cell r="B55">
            <v>25</v>
          </cell>
          <cell r="C55" t="str">
            <v xml:space="preserve">E-MART 인천점                 </v>
          </cell>
          <cell r="D55">
            <v>107709049</v>
          </cell>
          <cell r="E55">
            <v>108416852</v>
          </cell>
          <cell r="F55">
            <v>4147104</v>
          </cell>
          <cell r="G55">
            <v>51430762</v>
          </cell>
        </row>
        <row r="56">
          <cell r="A56">
            <v>1329843</v>
          </cell>
          <cell r="B56">
            <v>26</v>
          </cell>
          <cell r="C56" t="str">
            <v xml:space="preserve">E-MART 일산점                 </v>
          </cell>
          <cell r="D56">
            <v>68231698</v>
          </cell>
          <cell r="E56">
            <v>68372263</v>
          </cell>
          <cell r="F56">
            <v>3642718</v>
          </cell>
          <cell r="G56">
            <v>44895730</v>
          </cell>
        </row>
        <row r="57">
          <cell r="A57">
            <v>3409065</v>
          </cell>
          <cell r="B57">
            <v>27</v>
          </cell>
          <cell r="C57" t="str">
            <v xml:space="preserve">E-MART 전주점                 </v>
          </cell>
          <cell r="D57">
            <v>67457487</v>
          </cell>
          <cell r="E57">
            <v>67494783</v>
          </cell>
          <cell r="F57">
            <v>4167572</v>
          </cell>
          <cell r="G57">
            <v>49392126</v>
          </cell>
        </row>
        <row r="58">
          <cell r="A58">
            <v>4104353</v>
          </cell>
          <cell r="B58">
            <v>28</v>
          </cell>
          <cell r="C58" t="str">
            <v xml:space="preserve">E-MART 제주점                 </v>
          </cell>
          <cell r="D58">
            <v>63969068</v>
          </cell>
          <cell r="E58">
            <v>65946735</v>
          </cell>
          <cell r="F58">
            <v>3336502</v>
          </cell>
          <cell r="G58">
            <v>38625037</v>
          </cell>
        </row>
        <row r="59">
          <cell r="A59">
            <v>4407374</v>
          </cell>
          <cell r="B59">
            <v>29</v>
          </cell>
          <cell r="C59" t="str">
            <v xml:space="preserve">E-MART 진주점                 </v>
          </cell>
          <cell r="D59">
            <v>36063244</v>
          </cell>
          <cell r="E59">
            <v>35831385</v>
          </cell>
          <cell r="F59">
            <v>1451168</v>
          </cell>
          <cell r="G59">
            <v>17067136</v>
          </cell>
        </row>
        <row r="60">
          <cell r="A60">
            <v>1329839</v>
          </cell>
          <cell r="B60">
            <v>30</v>
          </cell>
          <cell r="C60" t="str">
            <v xml:space="preserve">E-MART 창동점                 </v>
          </cell>
          <cell r="D60">
            <v>63060926</v>
          </cell>
          <cell r="E60">
            <v>62858879</v>
          </cell>
          <cell r="F60">
            <v>3444582</v>
          </cell>
          <cell r="G60">
            <v>40025512</v>
          </cell>
        </row>
        <row r="61">
          <cell r="A61">
            <v>1508194</v>
          </cell>
          <cell r="B61">
            <v>31</v>
          </cell>
          <cell r="C61" t="str">
            <v xml:space="preserve">E-MART 천호점                 </v>
          </cell>
          <cell r="D61">
            <v>61032241</v>
          </cell>
          <cell r="E61">
            <v>60668773</v>
          </cell>
          <cell r="F61">
            <v>2733482</v>
          </cell>
          <cell r="G61">
            <v>30812107</v>
          </cell>
        </row>
        <row r="62">
          <cell r="A62">
            <v>4603786</v>
          </cell>
          <cell r="B62">
            <v>32</v>
          </cell>
          <cell r="C62" t="str">
            <v xml:space="preserve">E-MART 청주점                 </v>
          </cell>
          <cell r="D62">
            <v>47287841</v>
          </cell>
          <cell r="E62">
            <v>47273709</v>
          </cell>
          <cell r="F62">
            <v>2297333</v>
          </cell>
          <cell r="G62">
            <v>25161121</v>
          </cell>
        </row>
        <row r="63">
          <cell r="A63">
            <v>4513690</v>
          </cell>
          <cell r="B63">
            <v>33</v>
          </cell>
          <cell r="C63" t="str">
            <v xml:space="preserve">E-MART 해운대점               </v>
          </cell>
          <cell r="D63">
            <v>55679254</v>
          </cell>
          <cell r="E63">
            <v>55569329</v>
          </cell>
          <cell r="F63">
            <v>2893284</v>
          </cell>
          <cell r="G63">
            <v>32882781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월세금"/>
      <sheetName val="미수현항 (2)"/>
      <sheetName val="미수현항"/>
      <sheetName val="실적이관"/>
      <sheetName val="8월미수"/>
      <sheetName val="매입이월"/>
      <sheetName val="회계대체"/>
      <sheetName val="8월세금 (2)"/>
    </sheetNames>
    <sheetDataSet>
      <sheetData sheetId="0"/>
      <sheetData sheetId="1"/>
      <sheetData sheetId="2"/>
      <sheetData sheetId="3"/>
      <sheetData sheetId="4">
        <row r="1">
          <cell r="A1" t="str">
            <v>CODE</v>
          </cell>
          <cell r="B1" t="str">
            <v>NAME</v>
          </cell>
          <cell r="C1" t="str">
            <v>2002/08 매출액</v>
          </cell>
          <cell r="D1" t="str">
            <v>2002/08 장부미수</v>
          </cell>
        </row>
        <row r="2">
          <cell r="A2">
            <v>2923651</v>
          </cell>
          <cell r="B2" t="str">
            <v xml:space="preserve">이마트평택점                  </v>
          </cell>
          <cell r="C2">
            <v>11689205</v>
          </cell>
          <cell r="D2">
            <v>19461640</v>
          </cell>
        </row>
        <row r="3">
          <cell r="A3">
            <v>2923665</v>
          </cell>
          <cell r="B3" t="str">
            <v xml:space="preserve">E-MART 평택점                 </v>
          </cell>
          <cell r="C3">
            <v>38001062</v>
          </cell>
          <cell r="D3">
            <v>40142047</v>
          </cell>
        </row>
        <row r="4">
          <cell r="A4">
            <v>992470</v>
          </cell>
          <cell r="B4" t="str">
            <v xml:space="preserve">임형준    </v>
          </cell>
          <cell r="C4">
            <v>49690267</v>
          </cell>
          <cell r="D4">
            <v>59603687</v>
          </cell>
        </row>
        <row r="5">
          <cell r="A5">
            <v>3013241</v>
          </cell>
          <cell r="B5" t="str">
            <v xml:space="preserve">이마트이천점                  </v>
          </cell>
          <cell r="C5">
            <v>9300632</v>
          </cell>
          <cell r="D5">
            <v>16220226</v>
          </cell>
        </row>
        <row r="6">
          <cell r="A6">
            <v>3013256</v>
          </cell>
          <cell r="B6" t="str">
            <v xml:space="preserve">E-MART 이천점                 </v>
          </cell>
          <cell r="C6">
            <v>27637546</v>
          </cell>
          <cell r="D6">
            <v>28561553</v>
          </cell>
        </row>
        <row r="7">
          <cell r="A7">
            <v>992496</v>
          </cell>
          <cell r="B7" t="str">
            <v xml:space="preserve">김동욱    </v>
          </cell>
          <cell r="C7">
            <v>36938178</v>
          </cell>
          <cell r="D7">
            <v>44781779</v>
          </cell>
        </row>
        <row r="8">
          <cell r="A8">
            <v>30224100</v>
          </cell>
          <cell r="B8" t="str">
            <v xml:space="preserve">수원지점                      </v>
          </cell>
          <cell r="C8">
            <v>86628445</v>
          </cell>
          <cell r="D8">
            <v>104385466</v>
          </cell>
        </row>
        <row r="9">
          <cell r="A9">
            <v>30224100</v>
          </cell>
          <cell r="B9" t="str">
            <v xml:space="preserve">수원지점                      </v>
          </cell>
          <cell r="C9">
            <v>86628445</v>
          </cell>
          <cell r="D9">
            <v>104385466</v>
          </cell>
        </row>
        <row r="10">
          <cell r="A10">
            <v>3312104</v>
          </cell>
          <cell r="B10" t="str">
            <v xml:space="preserve">E-MART 둔산점                 </v>
          </cell>
          <cell r="C10">
            <v>39397457</v>
          </cell>
          <cell r="D10">
            <v>40700495</v>
          </cell>
        </row>
        <row r="11">
          <cell r="A11">
            <v>3312119</v>
          </cell>
          <cell r="B11" t="str">
            <v xml:space="preserve">이마트둔산점                  </v>
          </cell>
          <cell r="C11">
            <v>16316063</v>
          </cell>
          <cell r="D11">
            <v>28137081</v>
          </cell>
        </row>
        <row r="12">
          <cell r="A12">
            <v>990457</v>
          </cell>
          <cell r="B12" t="str">
            <v xml:space="preserve">최창우    </v>
          </cell>
          <cell r="C12">
            <v>55713520</v>
          </cell>
          <cell r="D12">
            <v>68837576</v>
          </cell>
        </row>
        <row r="13">
          <cell r="A13">
            <v>30225100</v>
          </cell>
          <cell r="B13" t="str">
            <v xml:space="preserve">대전지점                      </v>
          </cell>
          <cell r="C13">
            <v>55713520</v>
          </cell>
          <cell r="D13">
            <v>68837576</v>
          </cell>
        </row>
        <row r="14">
          <cell r="A14">
            <v>30225100</v>
          </cell>
          <cell r="B14" t="str">
            <v xml:space="preserve">대전지점                      </v>
          </cell>
          <cell r="C14">
            <v>55713520</v>
          </cell>
          <cell r="D14">
            <v>68837576</v>
          </cell>
        </row>
        <row r="15">
          <cell r="A15">
            <v>4603650</v>
          </cell>
          <cell r="B15" t="str">
            <v xml:space="preserve">이마트청주점                  </v>
          </cell>
          <cell r="C15">
            <v>11628094</v>
          </cell>
          <cell r="D15">
            <v>17559030</v>
          </cell>
        </row>
        <row r="16">
          <cell r="A16">
            <v>4603786</v>
          </cell>
          <cell r="B16" t="str">
            <v xml:space="preserve">E-MART 청주점                 </v>
          </cell>
          <cell r="C16">
            <v>31143103</v>
          </cell>
          <cell r="D16">
            <v>32180306</v>
          </cell>
        </row>
        <row r="17">
          <cell r="A17">
            <v>1294</v>
          </cell>
          <cell r="B17" t="str">
            <v xml:space="preserve">정임정    </v>
          </cell>
          <cell r="C17">
            <v>42771197</v>
          </cell>
          <cell r="D17">
            <v>49739336</v>
          </cell>
        </row>
        <row r="18">
          <cell r="A18">
            <v>4604867</v>
          </cell>
          <cell r="B18" t="str">
            <v xml:space="preserve">이마트충주점                  </v>
          </cell>
          <cell r="C18">
            <v>5608267</v>
          </cell>
          <cell r="D18">
            <v>7882781</v>
          </cell>
        </row>
        <row r="19">
          <cell r="A19">
            <v>4604872</v>
          </cell>
          <cell r="B19" t="str">
            <v xml:space="preserve">E-MART 충주점                 </v>
          </cell>
          <cell r="C19">
            <v>21422806</v>
          </cell>
          <cell r="D19">
            <v>21819358</v>
          </cell>
        </row>
        <row r="20">
          <cell r="A20">
            <v>901546</v>
          </cell>
          <cell r="B20" t="str">
            <v xml:space="preserve">남기혁    </v>
          </cell>
          <cell r="C20">
            <v>27031073</v>
          </cell>
          <cell r="D20">
            <v>29702139</v>
          </cell>
        </row>
        <row r="21">
          <cell r="A21">
            <v>4604750</v>
          </cell>
          <cell r="B21" t="str">
            <v xml:space="preserve">E-MART 천안점                 </v>
          </cell>
          <cell r="C21">
            <v>35849883</v>
          </cell>
          <cell r="D21">
            <v>38239835</v>
          </cell>
        </row>
        <row r="22">
          <cell r="A22">
            <v>4604764</v>
          </cell>
          <cell r="B22" t="str">
            <v xml:space="preserve">이마트 천안점                 </v>
          </cell>
          <cell r="C22">
            <v>14195846</v>
          </cell>
          <cell r="D22">
            <v>22997617</v>
          </cell>
        </row>
        <row r="23">
          <cell r="A23">
            <v>911825</v>
          </cell>
          <cell r="B23" t="str">
            <v xml:space="preserve">김두철    </v>
          </cell>
          <cell r="C23">
            <v>50045729</v>
          </cell>
          <cell r="D23">
            <v>61237452</v>
          </cell>
        </row>
        <row r="24">
          <cell r="A24">
            <v>30226100</v>
          </cell>
          <cell r="B24" t="str">
            <v xml:space="preserve">청주지점                      </v>
          </cell>
          <cell r="C24">
            <v>119847999</v>
          </cell>
          <cell r="D24">
            <v>140678927</v>
          </cell>
        </row>
        <row r="25">
          <cell r="A25">
            <v>30226100</v>
          </cell>
          <cell r="B25" t="str">
            <v xml:space="preserve">청주지점                      </v>
          </cell>
          <cell r="C25">
            <v>119847999</v>
          </cell>
          <cell r="D25">
            <v>140678927</v>
          </cell>
        </row>
        <row r="26">
          <cell r="A26">
            <v>3807985</v>
          </cell>
          <cell r="B26" t="str">
            <v xml:space="preserve">이마트원주점                  </v>
          </cell>
          <cell r="C26">
            <v>15236666</v>
          </cell>
          <cell r="D26">
            <v>26402601</v>
          </cell>
        </row>
        <row r="27">
          <cell r="A27">
            <v>3808009</v>
          </cell>
          <cell r="B27" t="str">
            <v xml:space="preserve">E-MART 원주점                 </v>
          </cell>
          <cell r="C27">
            <v>28913195</v>
          </cell>
          <cell r="D27">
            <v>30141963</v>
          </cell>
        </row>
        <row r="28">
          <cell r="A28">
            <v>1299</v>
          </cell>
          <cell r="B28" t="str">
            <v xml:space="preserve">지형용    </v>
          </cell>
          <cell r="C28">
            <v>44149861</v>
          </cell>
          <cell r="D28">
            <v>56544564</v>
          </cell>
        </row>
        <row r="29">
          <cell r="A29">
            <v>30228100</v>
          </cell>
          <cell r="B29" t="str">
            <v xml:space="preserve">원주지점                      </v>
          </cell>
          <cell r="C29">
            <v>44149861</v>
          </cell>
          <cell r="D29">
            <v>56544564</v>
          </cell>
        </row>
        <row r="30">
          <cell r="A30">
            <v>30228100</v>
          </cell>
          <cell r="B30" t="str">
            <v xml:space="preserve">원주지점                      </v>
          </cell>
          <cell r="C30">
            <v>44149861</v>
          </cell>
          <cell r="D30">
            <v>56544564</v>
          </cell>
        </row>
        <row r="31">
          <cell r="A31">
            <v>30220000</v>
          </cell>
          <cell r="B31" t="str">
            <v xml:space="preserve">중부 영업본부                 </v>
          </cell>
          <cell r="C31">
            <v>306339825</v>
          </cell>
          <cell r="D31">
            <v>370446533</v>
          </cell>
        </row>
        <row r="32">
          <cell r="A32">
            <v>3405632</v>
          </cell>
          <cell r="B32" t="str">
            <v xml:space="preserve">이마트남원점                  </v>
          </cell>
          <cell r="C32">
            <v>3926411</v>
          </cell>
          <cell r="D32">
            <v>5151536</v>
          </cell>
        </row>
        <row r="33">
          <cell r="A33">
            <v>3409027</v>
          </cell>
          <cell r="B33" t="str">
            <v xml:space="preserve">E-MART 남원점                 </v>
          </cell>
          <cell r="C33">
            <v>20241300</v>
          </cell>
          <cell r="D33">
            <v>20966840</v>
          </cell>
        </row>
        <row r="34">
          <cell r="A34">
            <v>1273</v>
          </cell>
          <cell r="B34" t="str">
            <v xml:space="preserve">김정제    </v>
          </cell>
          <cell r="C34">
            <v>24167711</v>
          </cell>
          <cell r="D34">
            <v>26118376</v>
          </cell>
        </row>
        <row r="35">
          <cell r="A35">
            <v>3409046</v>
          </cell>
          <cell r="B35" t="str">
            <v xml:space="preserve">이마트전주점                  </v>
          </cell>
          <cell r="C35">
            <v>16876915</v>
          </cell>
          <cell r="D35">
            <v>29950866</v>
          </cell>
        </row>
        <row r="36">
          <cell r="A36">
            <v>3409065</v>
          </cell>
          <cell r="B36" t="str">
            <v xml:space="preserve">E-MART 전주점                 </v>
          </cell>
          <cell r="C36">
            <v>55503770</v>
          </cell>
          <cell r="D36">
            <v>56631809</v>
          </cell>
        </row>
        <row r="37">
          <cell r="A37">
            <v>960588</v>
          </cell>
          <cell r="B37" t="str">
            <v xml:space="preserve">남창우    </v>
          </cell>
          <cell r="C37">
            <v>72380685</v>
          </cell>
          <cell r="D37">
            <v>86582675</v>
          </cell>
        </row>
        <row r="38">
          <cell r="A38">
            <v>30321100</v>
          </cell>
          <cell r="B38" t="str">
            <v xml:space="preserve">전주지점                      </v>
          </cell>
          <cell r="C38">
            <v>96548396</v>
          </cell>
          <cell r="D38">
            <v>112701051</v>
          </cell>
        </row>
        <row r="39">
          <cell r="A39">
            <v>30321100</v>
          </cell>
          <cell r="B39" t="str">
            <v xml:space="preserve">전주지점                      </v>
          </cell>
          <cell r="C39">
            <v>96548396</v>
          </cell>
          <cell r="D39">
            <v>112701051</v>
          </cell>
        </row>
        <row r="40">
          <cell r="A40">
            <v>4150415</v>
          </cell>
          <cell r="B40" t="str">
            <v xml:space="preserve">이마트군산점                  </v>
          </cell>
          <cell r="C40">
            <v>13522201</v>
          </cell>
          <cell r="D40">
            <v>24178495</v>
          </cell>
        </row>
        <row r="41">
          <cell r="A41">
            <v>4150429</v>
          </cell>
          <cell r="B41" t="str">
            <v xml:space="preserve">E-MART 군산점                 </v>
          </cell>
          <cell r="C41">
            <v>49106442</v>
          </cell>
          <cell r="D41">
            <v>51715902</v>
          </cell>
        </row>
        <row r="42">
          <cell r="A42">
            <v>11186</v>
          </cell>
          <cell r="B42" t="str">
            <v xml:space="preserve">최하영    </v>
          </cell>
          <cell r="C42">
            <v>62628643</v>
          </cell>
          <cell r="D42">
            <v>75894397</v>
          </cell>
        </row>
        <row r="43">
          <cell r="A43">
            <v>30322100</v>
          </cell>
          <cell r="B43" t="str">
            <v xml:space="preserve">군산지점                      </v>
          </cell>
          <cell r="C43">
            <v>62628643</v>
          </cell>
          <cell r="D43">
            <v>75894397</v>
          </cell>
        </row>
        <row r="44">
          <cell r="A44">
            <v>30322100</v>
          </cell>
          <cell r="B44" t="str">
            <v xml:space="preserve">군산지점                      </v>
          </cell>
          <cell r="C44">
            <v>62628643</v>
          </cell>
          <cell r="D44">
            <v>75894397</v>
          </cell>
        </row>
        <row r="45">
          <cell r="A45">
            <v>3514803</v>
          </cell>
          <cell r="B45" t="str">
            <v xml:space="preserve">이마트동광주점                </v>
          </cell>
          <cell r="C45">
            <v>8705064</v>
          </cell>
          <cell r="D45">
            <v>13443798</v>
          </cell>
        </row>
        <row r="46">
          <cell r="A46">
            <v>3515030</v>
          </cell>
          <cell r="B46" t="str">
            <v xml:space="preserve">E-MART 동광주점               </v>
          </cell>
          <cell r="C46">
            <v>33738249</v>
          </cell>
          <cell r="D46">
            <v>34824378</v>
          </cell>
        </row>
        <row r="47">
          <cell r="A47">
            <v>3517263</v>
          </cell>
          <cell r="B47" t="str">
            <v xml:space="preserve">이마트 상무대점               </v>
          </cell>
          <cell r="C47">
            <v>6461273</v>
          </cell>
          <cell r="D47">
            <v>9479321</v>
          </cell>
        </row>
        <row r="48">
          <cell r="A48">
            <v>3517278</v>
          </cell>
          <cell r="B48" t="str">
            <v xml:space="preserve">E-MART 상무대점               </v>
          </cell>
          <cell r="C48">
            <v>18016014</v>
          </cell>
          <cell r="D48">
            <v>18469498</v>
          </cell>
        </row>
        <row r="49">
          <cell r="A49">
            <v>960253</v>
          </cell>
          <cell r="B49" t="str">
            <v xml:space="preserve">이진욱    </v>
          </cell>
          <cell r="C49">
            <v>66920600</v>
          </cell>
          <cell r="D49">
            <v>76216995</v>
          </cell>
        </row>
        <row r="50">
          <cell r="A50">
            <v>30323100</v>
          </cell>
          <cell r="B50" t="str">
            <v xml:space="preserve">광주지점                      </v>
          </cell>
          <cell r="C50">
            <v>66920600</v>
          </cell>
          <cell r="D50">
            <v>76216995</v>
          </cell>
        </row>
        <row r="51">
          <cell r="A51">
            <v>30323100</v>
          </cell>
          <cell r="B51" t="str">
            <v xml:space="preserve">광주지점                      </v>
          </cell>
          <cell r="C51">
            <v>66920600</v>
          </cell>
          <cell r="D51">
            <v>76216995</v>
          </cell>
        </row>
        <row r="52">
          <cell r="A52">
            <v>3516405</v>
          </cell>
          <cell r="B52" t="str">
            <v xml:space="preserve">E-MART 목포점                 </v>
          </cell>
          <cell r="C52">
            <v>44478776</v>
          </cell>
          <cell r="D52">
            <v>45703817</v>
          </cell>
        </row>
        <row r="53">
          <cell r="A53">
            <v>3516410</v>
          </cell>
          <cell r="B53" t="str">
            <v xml:space="preserve">이마트목포점                  </v>
          </cell>
          <cell r="C53">
            <v>13326027</v>
          </cell>
          <cell r="D53">
            <v>20701736</v>
          </cell>
        </row>
        <row r="54">
          <cell r="A54">
            <v>1298</v>
          </cell>
          <cell r="B54" t="str">
            <v xml:space="preserve">주정수    </v>
          </cell>
          <cell r="C54">
            <v>57804803</v>
          </cell>
          <cell r="D54">
            <v>66405553</v>
          </cell>
        </row>
        <row r="55">
          <cell r="A55">
            <v>30324100</v>
          </cell>
          <cell r="B55" t="str">
            <v xml:space="preserve">목포지점                      </v>
          </cell>
          <cell r="C55">
            <v>57804803</v>
          </cell>
          <cell r="D55">
            <v>66405553</v>
          </cell>
        </row>
        <row r="56">
          <cell r="A56">
            <v>30324100</v>
          </cell>
          <cell r="B56" t="str">
            <v xml:space="preserve">목포지점                      </v>
          </cell>
          <cell r="C56">
            <v>57804803</v>
          </cell>
          <cell r="D56">
            <v>66405553</v>
          </cell>
        </row>
        <row r="57">
          <cell r="A57">
            <v>4306014</v>
          </cell>
          <cell r="B57" t="str">
            <v xml:space="preserve">E-MART 여수점                 </v>
          </cell>
          <cell r="C57">
            <v>26653947</v>
          </cell>
          <cell r="D57">
            <v>27891905</v>
          </cell>
        </row>
        <row r="58">
          <cell r="A58">
            <v>4306028</v>
          </cell>
          <cell r="B58" t="str">
            <v xml:space="preserve">이마트여수점                  </v>
          </cell>
          <cell r="C58">
            <v>9739647</v>
          </cell>
          <cell r="D58">
            <v>13493133</v>
          </cell>
        </row>
        <row r="59">
          <cell r="A59">
            <v>992933</v>
          </cell>
          <cell r="B59" t="str">
            <v xml:space="preserve">윤공현    </v>
          </cell>
          <cell r="C59">
            <v>36393594</v>
          </cell>
          <cell r="D59">
            <v>41385038</v>
          </cell>
        </row>
        <row r="60">
          <cell r="A60">
            <v>30325100</v>
          </cell>
          <cell r="B60" t="str">
            <v xml:space="preserve">순천지점                      </v>
          </cell>
          <cell r="C60">
            <v>36393594</v>
          </cell>
          <cell r="D60">
            <v>41385038</v>
          </cell>
        </row>
        <row r="61">
          <cell r="A61">
            <v>30325100</v>
          </cell>
          <cell r="B61" t="str">
            <v xml:space="preserve">순천지점                      </v>
          </cell>
          <cell r="C61">
            <v>36393594</v>
          </cell>
          <cell r="D61">
            <v>41385038</v>
          </cell>
        </row>
        <row r="62">
          <cell r="A62">
            <v>4103286</v>
          </cell>
          <cell r="B62" t="str">
            <v xml:space="preserve">이마트제주점                  </v>
          </cell>
          <cell r="C62">
            <v>13165625</v>
          </cell>
          <cell r="D62">
            <v>20995128</v>
          </cell>
        </row>
        <row r="63">
          <cell r="A63">
            <v>4104353</v>
          </cell>
          <cell r="B63" t="str">
            <v xml:space="preserve">E-MART 제주점                 </v>
          </cell>
          <cell r="C63">
            <v>48070792</v>
          </cell>
          <cell r="D63">
            <v>49843224</v>
          </cell>
        </row>
        <row r="64">
          <cell r="A64">
            <v>953348</v>
          </cell>
          <cell r="B64" t="str">
            <v xml:space="preserve">오동호    </v>
          </cell>
          <cell r="C64">
            <v>61236417</v>
          </cell>
          <cell r="D64">
            <v>70838352</v>
          </cell>
        </row>
        <row r="65">
          <cell r="A65">
            <v>30326100</v>
          </cell>
          <cell r="B65" t="str">
            <v xml:space="preserve">제주지점                      </v>
          </cell>
          <cell r="C65">
            <v>61236417</v>
          </cell>
          <cell r="D65">
            <v>70838352</v>
          </cell>
        </row>
        <row r="66">
          <cell r="A66">
            <v>30326100</v>
          </cell>
          <cell r="B66" t="str">
            <v xml:space="preserve">제주지점                      </v>
          </cell>
          <cell r="C66">
            <v>61236417</v>
          </cell>
          <cell r="D66">
            <v>70838352</v>
          </cell>
        </row>
        <row r="67">
          <cell r="A67">
            <v>30320000</v>
          </cell>
          <cell r="B67" t="str">
            <v xml:space="preserve">호남 영업본부                 </v>
          </cell>
          <cell r="C67">
            <v>381532453</v>
          </cell>
          <cell r="D67">
            <v>443441386</v>
          </cell>
        </row>
        <row r="68">
          <cell r="A68">
            <v>4407369</v>
          </cell>
          <cell r="B68" t="str">
            <v xml:space="preserve">이마트진주점                  </v>
          </cell>
          <cell r="C68">
            <v>8463268</v>
          </cell>
          <cell r="D68">
            <v>12738308</v>
          </cell>
        </row>
        <row r="69">
          <cell r="A69">
            <v>4407374</v>
          </cell>
          <cell r="B69" t="str">
            <v xml:space="preserve">E-MART 진주점                 </v>
          </cell>
          <cell r="C69">
            <v>28779219</v>
          </cell>
          <cell r="D69">
            <v>29464255</v>
          </cell>
        </row>
        <row r="70">
          <cell r="A70">
            <v>7292</v>
          </cell>
          <cell r="B70" t="str">
            <v xml:space="preserve">박명권    </v>
          </cell>
          <cell r="C70">
            <v>37242487</v>
          </cell>
          <cell r="D70">
            <v>42202563</v>
          </cell>
        </row>
        <row r="71">
          <cell r="A71">
            <v>30525100</v>
          </cell>
          <cell r="B71" t="str">
            <v xml:space="preserve">진주지점                      </v>
          </cell>
          <cell r="C71">
            <v>37242487</v>
          </cell>
          <cell r="D71">
            <v>42202563</v>
          </cell>
        </row>
        <row r="72">
          <cell r="A72">
            <v>30525100</v>
          </cell>
          <cell r="B72" t="str">
            <v xml:space="preserve">진주지점                      </v>
          </cell>
          <cell r="C72">
            <v>37242487</v>
          </cell>
          <cell r="D72">
            <v>42202563</v>
          </cell>
        </row>
        <row r="73">
          <cell r="A73">
            <v>30520000</v>
          </cell>
          <cell r="B73" t="str">
            <v xml:space="preserve">경남 영업본부                 </v>
          </cell>
          <cell r="C73">
            <v>37242487</v>
          </cell>
          <cell r="D73">
            <v>42202563</v>
          </cell>
        </row>
        <row r="74">
          <cell r="A74">
            <v>1329245</v>
          </cell>
          <cell r="B74" t="str">
            <v xml:space="preserve">이마트은평점                  </v>
          </cell>
          <cell r="C74">
            <v>29220823</v>
          </cell>
          <cell r="D74">
            <v>48034904</v>
          </cell>
        </row>
        <row r="75">
          <cell r="A75">
            <v>1329250</v>
          </cell>
          <cell r="B75" t="str">
            <v xml:space="preserve">E-MART 은평점                 </v>
          </cell>
          <cell r="C75">
            <v>70402084</v>
          </cell>
          <cell r="D75">
            <v>72523575</v>
          </cell>
        </row>
        <row r="76">
          <cell r="A76">
            <v>1329843</v>
          </cell>
          <cell r="B76" t="str">
            <v xml:space="preserve">E-MART 일산점                 </v>
          </cell>
          <cell r="C76">
            <v>42409132</v>
          </cell>
          <cell r="D76">
            <v>43356591</v>
          </cell>
        </row>
        <row r="77">
          <cell r="A77">
            <v>1338551</v>
          </cell>
          <cell r="B77" t="str">
            <v xml:space="preserve">이마트일산점                  </v>
          </cell>
          <cell r="C77">
            <v>19851502</v>
          </cell>
          <cell r="D77">
            <v>33670670</v>
          </cell>
        </row>
        <row r="78">
          <cell r="A78">
            <v>11148</v>
          </cell>
          <cell r="B78" t="str">
            <v xml:space="preserve">이강로    </v>
          </cell>
          <cell r="C78">
            <v>161883541</v>
          </cell>
          <cell r="D78">
            <v>197585740</v>
          </cell>
        </row>
        <row r="79">
          <cell r="A79">
            <v>1329563</v>
          </cell>
          <cell r="B79" t="str">
            <v xml:space="preserve">E-MART 성수점                 </v>
          </cell>
          <cell r="C79">
            <v>51172949</v>
          </cell>
          <cell r="D79">
            <v>53583535</v>
          </cell>
        </row>
        <row r="80">
          <cell r="A80">
            <v>1329578</v>
          </cell>
          <cell r="B80" t="str">
            <v xml:space="preserve">이마트성수점                  </v>
          </cell>
          <cell r="C80">
            <v>28751101</v>
          </cell>
          <cell r="D80">
            <v>46475511</v>
          </cell>
        </row>
        <row r="81">
          <cell r="A81">
            <v>1818000</v>
          </cell>
          <cell r="B81" t="str">
            <v xml:space="preserve">이마트상봉점                  </v>
          </cell>
          <cell r="C81">
            <v>21468007</v>
          </cell>
          <cell r="D81">
            <v>42661630</v>
          </cell>
        </row>
        <row r="82">
          <cell r="A82">
            <v>1818015</v>
          </cell>
          <cell r="B82" t="str">
            <v xml:space="preserve">E-MART 상봉점                 </v>
          </cell>
          <cell r="C82">
            <v>56911221</v>
          </cell>
          <cell r="D82">
            <v>58139457</v>
          </cell>
        </row>
        <row r="83">
          <cell r="A83">
            <v>15117</v>
          </cell>
          <cell r="B83" t="str">
            <v xml:space="preserve">이용호    </v>
          </cell>
          <cell r="C83">
            <v>158303278</v>
          </cell>
          <cell r="D83">
            <v>200860133</v>
          </cell>
        </row>
        <row r="84">
          <cell r="A84">
            <v>1326455</v>
          </cell>
          <cell r="B84" t="str">
            <v xml:space="preserve">이마트창동점                  </v>
          </cell>
          <cell r="C84">
            <v>22917125</v>
          </cell>
          <cell r="D84">
            <v>35495878</v>
          </cell>
        </row>
        <row r="85">
          <cell r="A85">
            <v>1329839</v>
          </cell>
          <cell r="B85" t="str">
            <v xml:space="preserve">E-MART 창동점                 </v>
          </cell>
          <cell r="C85">
            <v>44871924</v>
          </cell>
          <cell r="D85">
            <v>46423619</v>
          </cell>
        </row>
        <row r="86">
          <cell r="A86">
            <v>973442</v>
          </cell>
          <cell r="B86" t="str">
            <v xml:space="preserve">김광규    </v>
          </cell>
          <cell r="C86">
            <v>67789049</v>
          </cell>
          <cell r="D86">
            <v>81919497</v>
          </cell>
        </row>
        <row r="87">
          <cell r="A87">
            <v>30723500</v>
          </cell>
          <cell r="B87" t="str">
            <v xml:space="preserve">강북유통１지점                </v>
          </cell>
          <cell r="C87">
            <v>387975868</v>
          </cell>
          <cell r="D87">
            <v>480365370</v>
          </cell>
        </row>
        <row r="88">
          <cell r="A88">
            <v>30723500</v>
          </cell>
          <cell r="B88" t="str">
            <v xml:space="preserve">강북유통１지점                </v>
          </cell>
          <cell r="C88">
            <v>387975868</v>
          </cell>
          <cell r="D88">
            <v>480365370</v>
          </cell>
        </row>
        <row r="89">
          <cell r="A89">
            <v>1329119</v>
          </cell>
          <cell r="B89" t="str">
            <v xml:space="preserve">E-MART 수서점                 </v>
          </cell>
          <cell r="C89">
            <v>6636341</v>
          </cell>
          <cell r="D89">
            <v>6832577</v>
          </cell>
        </row>
        <row r="90">
          <cell r="A90">
            <v>1329582</v>
          </cell>
          <cell r="B90" t="str">
            <v xml:space="preserve">이마트 수서                   </v>
          </cell>
          <cell r="C90">
            <v>4709281</v>
          </cell>
          <cell r="D90">
            <v>5815364</v>
          </cell>
        </row>
        <row r="91">
          <cell r="A91">
            <v>1329858</v>
          </cell>
          <cell r="B91" t="str">
            <v xml:space="preserve">E-MART 분당점                 </v>
          </cell>
          <cell r="C91">
            <v>53539932</v>
          </cell>
          <cell r="D91">
            <v>55187761</v>
          </cell>
        </row>
        <row r="92">
          <cell r="A92">
            <v>1507780</v>
          </cell>
          <cell r="B92" t="str">
            <v xml:space="preserve">이마트분당점                  </v>
          </cell>
          <cell r="C92">
            <v>25473145</v>
          </cell>
          <cell r="D92">
            <v>37889362</v>
          </cell>
        </row>
        <row r="93">
          <cell r="A93">
            <v>1508175</v>
          </cell>
          <cell r="B93" t="str">
            <v xml:space="preserve">이마트천호점                  </v>
          </cell>
          <cell r="C93">
            <v>22082357</v>
          </cell>
          <cell r="D93">
            <v>36568367</v>
          </cell>
        </row>
        <row r="94">
          <cell r="A94">
            <v>1508194</v>
          </cell>
          <cell r="B94" t="str">
            <v xml:space="preserve">E-MART 천호점                 </v>
          </cell>
          <cell r="C94">
            <v>53919685</v>
          </cell>
          <cell r="D94">
            <v>54888739</v>
          </cell>
        </row>
        <row r="95">
          <cell r="A95">
            <v>15162</v>
          </cell>
          <cell r="B95" t="str">
            <v xml:space="preserve">위대영    </v>
          </cell>
          <cell r="C95">
            <v>166360741</v>
          </cell>
          <cell r="D95">
            <v>197182170</v>
          </cell>
        </row>
        <row r="96">
          <cell r="A96">
            <v>2930120</v>
          </cell>
          <cell r="B96" t="str">
            <v xml:space="preserve">이마트부천역사                </v>
          </cell>
          <cell r="C96">
            <v>22386837</v>
          </cell>
          <cell r="D96">
            <v>37186028</v>
          </cell>
        </row>
        <row r="97">
          <cell r="A97">
            <v>2930135</v>
          </cell>
          <cell r="B97" t="str">
            <v xml:space="preserve">E-MART 부천역사               </v>
          </cell>
          <cell r="C97">
            <v>60216116</v>
          </cell>
          <cell r="D97">
            <v>67419310</v>
          </cell>
        </row>
        <row r="98">
          <cell r="A98">
            <v>2930364</v>
          </cell>
          <cell r="B98" t="str">
            <v xml:space="preserve">이마트신월(E)                 </v>
          </cell>
          <cell r="C98">
            <v>6872926</v>
          </cell>
          <cell r="D98">
            <v>10252841</v>
          </cell>
        </row>
        <row r="99">
          <cell r="A99">
            <v>2930379</v>
          </cell>
          <cell r="B99" t="str">
            <v xml:space="preserve">E-MART 신월(E)                </v>
          </cell>
          <cell r="C99">
            <v>14800862</v>
          </cell>
          <cell r="D99">
            <v>15437971</v>
          </cell>
        </row>
        <row r="100">
          <cell r="A100">
            <v>2930541</v>
          </cell>
          <cell r="B100" t="str">
            <v xml:space="preserve">이마트가양점                  </v>
          </cell>
          <cell r="C100">
            <v>27142593</v>
          </cell>
          <cell r="D100">
            <v>45916436</v>
          </cell>
        </row>
        <row r="101">
          <cell r="A101">
            <v>2930556</v>
          </cell>
          <cell r="B101" t="str">
            <v xml:space="preserve">E-MART 가양점                 </v>
          </cell>
          <cell r="C101">
            <v>65811523</v>
          </cell>
          <cell r="D101">
            <v>68728277</v>
          </cell>
        </row>
        <row r="102">
          <cell r="A102">
            <v>943497</v>
          </cell>
          <cell r="B102" t="str">
            <v xml:space="preserve">최진호    </v>
          </cell>
          <cell r="C102">
            <v>197230857</v>
          </cell>
          <cell r="D102">
            <v>244940863</v>
          </cell>
        </row>
        <row r="103">
          <cell r="A103">
            <v>1918892</v>
          </cell>
          <cell r="B103" t="str">
            <v xml:space="preserve">이마트구로점                  </v>
          </cell>
          <cell r="C103">
            <v>25956018</v>
          </cell>
          <cell r="D103">
            <v>42667504</v>
          </cell>
        </row>
        <row r="104">
          <cell r="A104">
            <v>1918904</v>
          </cell>
          <cell r="B104" t="str">
            <v xml:space="preserve">E-MART 구로점                 </v>
          </cell>
          <cell r="C104">
            <v>51689730</v>
          </cell>
          <cell r="D104">
            <v>54599169</v>
          </cell>
        </row>
        <row r="105">
          <cell r="A105">
            <v>992891</v>
          </cell>
          <cell r="B105" t="str">
            <v xml:space="preserve">장준호    </v>
          </cell>
          <cell r="C105">
            <v>77645748</v>
          </cell>
          <cell r="D105">
            <v>97266673</v>
          </cell>
        </row>
        <row r="106">
          <cell r="A106">
            <v>30723800</v>
          </cell>
          <cell r="B106" t="str">
            <v xml:space="preserve">강남유통１지점                </v>
          </cell>
          <cell r="C106">
            <v>441237346</v>
          </cell>
          <cell r="D106">
            <v>539389706</v>
          </cell>
        </row>
        <row r="107">
          <cell r="A107">
            <v>30723800</v>
          </cell>
          <cell r="B107" t="str">
            <v xml:space="preserve">강남유통１지점                </v>
          </cell>
          <cell r="C107">
            <v>441237346</v>
          </cell>
          <cell r="D107">
            <v>539389706</v>
          </cell>
        </row>
        <row r="108">
          <cell r="A108">
            <v>2921190</v>
          </cell>
          <cell r="B108" t="str">
            <v xml:space="preserve">이마트인천점                  </v>
          </cell>
          <cell r="C108">
            <v>16754540</v>
          </cell>
          <cell r="D108">
            <v>25145109</v>
          </cell>
        </row>
        <row r="109">
          <cell r="A109">
            <v>2921604</v>
          </cell>
          <cell r="B109" t="str">
            <v xml:space="preserve">E-MART 인천점                 </v>
          </cell>
          <cell r="C109">
            <v>57117965</v>
          </cell>
          <cell r="D109">
            <v>58205053</v>
          </cell>
        </row>
        <row r="110">
          <cell r="A110">
            <v>2923613</v>
          </cell>
          <cell r="B110" t="str">
            <v xml:space="preserve">E-MART 수원점                 </v>
          </cell>
          <cell r="C110">
            <v>39139839</v>
          </cell>
          <cell r="D110">
            <v>41966326</v>
          </cell>
        </row>
        <row r="111">
          <cell r="A111">
            <v>2923627</v>
          </cell>
          <cell r="B111" t="str">
            <v xml:space="preserve">이마트수원점                  </v>
          </cell>
          <cell r="C111">
            <v>16948316</v>
          </cell>
          <cell r="D111">
            <v>24156957</v>
          </cell>
        </row>
        <row r="112">
          <cell r="A112">
            <v>5025</v>
          </cell>
          <cell r="B112" t="str">
            <v xml:space="preserve">방기훈    </v>
          </cell>
          <cell r="C112">
            <v>129960660</v>
          </cell>
          <cell r="D112">
            <v>149473445</v>
          </cell>
        </row>
        <row r="113">
          <cell r="A113">
            <v>1338972</v>
          </cell>
          <cell r="B113" t="str">
            <v xml:space="preserve">이마트안산점                  </v>
          </cell>
          <cell r="C113">
            <v>8989645</v>
          </cell>
          <cell r="D113">
            <v>15004896</v>
          </cell>
        </row>
        <row r="114">
          <cell r="A114">
            <v>2923347</v>
          </cell>
          <cell r="B114" t="str">
            <v xml:space="preserve">이마트동인천점                </v>
          </cell>
          <cell r="C114">
            <v>12688978</v>
          </cell>
          <cell r="D114">
            <v>20709276</v>
          </cell>
        </row>
        <row r="115">
          <cell r="A115">
            <v>2923352</v>
          </cell>
          <cell r="B115" t="str">
            <v xml:space="preserve">E-MART 동인천점               </v>
          </cell>
          <cell r="C115">
            <v>44114116</v>
          </cell>
          <cell r="D115">
            <v>46810819</v>
          </cell>
        </row>
        <row r="116">
          <cell r="A116">
            <v>3012156</v>
          </cell>
          <cell r="B116" t="str">
            <v xml:space="preserve">E-MART 안산점                 </v>
          </cell>
          <cell r="C116">
            <v>26468503</v>
          </cell>
          <cell r="D116">
            <v>28303985</v>
          </cell>
        </row>
        <row r="117">
          <cell r="A117">
            <v>3013186</v>
          </cell>
          <cell r="B117" t="str">
            <v xml:space="preserve">이마트시화점                  </v>
          </cell>
          <cell r="C117">
            <v>10763830</v>
          </cell>
          <cell r="D117">
            <v>16521835</v>
          </cell>
        </row>
        <row r="118">
          <cell r="A118">
            <v>3013191</v>
          </cell>
          <cell r="B118" t="str">
            <v xml:space="preserve">E-MART 시화점                 </v>
          </cell>
          <cell r="C118">
            <v>32752806</v>
          </cell>
          <cell r="D118">
            <v>36148142</v>
          </cell>
        </row>
        <row r="119">
          <cell r="A119">
            <v>11113</v>
          </cell>
          <cell r="B119" t="str">
            <v xml:space="preserve">김중희    </v>
          </cell>
          <cell r="C119">
            <v>135777878</v>
          </cell>
          <cell r="D119">
            <v>163498953</v>
          </cell>
        </row>
        <row r="120">
          <cell r="A120">
            <v>1339086</v>
          </cell>
          <cell r="B120" t="str">
            <v xml:space="preserve">이마트부평점                  </v>
          </cell>
          <cell r="C120">
            <v>14514335</v>
          </cell>
          <cell r="D120">
            <v>22241230</v>
          </cell>
        </row>
        <row r="121">
          <cell r="A121">
            <v>2921592</v>
          </cell>
          <cell r="B121" t="str">
            <v xml:space="preserve">E-MART 부평점                 </v>
          </cell>
          <cell r="C121">
            <v>45231596</v>
          </cell>
          <cell r="D121">
            <v>47565110</v>
          </cell>
        </row>
        <row r="122">
          <cell r="A122">
            <v>921202</v>
          </cell>
          <cell r="B122" t="str">
            <v xml:space="preserve">유석상    </v>
          </cell>
          <cell r="C122">
            <v>59745931</v>
          </cell>
          <cell r="D122">
            <v>69806340</v>
          </cell>
        </row>
        <row r="123">
          <cell r="A123">
            <v>3007922</v>
          </cell>
          <cell r="B123" t="str">
            <v xml:space="preserve">이마트안양점                  </v>
          </cell>
          <cell r="C123">
            <v>24309697</v>
          </cell>
          <cell r="D123">
            <v>37633491</v>
          </cell>
        </row>
        <row r="124">
          <cell r="A124">
            <v>3012160</v>
          </cell>
          <cell r="B124" t="str">
            <v xml:space="preserve">E-MART 안양점                 </v>
          </cell>
          <cell r="C124">
            <v>50071029</v>
          </cell>
          <cell r="D124">
            <v>56089909</v>
          </cell>
        </row>
        <row r="125">
          <cell r="A125">
            <v>3012880</v>
          </cell>
          <cell r="B125" t="str">
            <v xml:space="preserve">이마트산본점                  </v>
          </cell>
          <cell r="C125">
            <v>22712536</v>
          </cell>
          <cell r="D125">
            <v>37486306</v>
          </cell>
        </row>
        <row r="126">
          <cell r="A126">
            <v>3012895</v>
          </cell>
          <cell r="B126" t="str">
            <v xml:space="preserve">E-MART 산본점                 </v>
          </cell>
          <cell r="C126">
            <v>59959252</v>
          </cell>
          <cell r="D126">
            <v>61423620</v>
          </cell>
        </row>
        <row r="127">
          <cell r="A127">
            <v>954239</v>
          </cell>
          <cell r="B127" t="str">
            <v xml:space="preserve">윤규하    </v>
          </cell>
          <cell r="C127">
            <v>157052514</v>
          </cell>
          <cell r="D127">
            <v>192633326</v>
          </cell>
        </row>
        <row r="128">
          <cell r="A128">
            <v>30724100</v>
          </cell>
          <cell r="B128" t="str">
            <v xml:space="preserve">경인유통지점                  </v>
          </cell>
          <cell r="C128">
            <v>482536983</v>
          </cell>
          <cell r="D128">
            <v>575412064</v>
          </cell>
        </row>
        <row r="129">
          <cell r="A129">
            <v>30724100</v>
          </cell>
          <cell r="B129" t="str">
            <v xml:space="preserve">경인유통지점                  </v>
          </cell>
          <cell r="C129">
            <v>482536983</v>
          </cell>
          <cell r="D129">
            <v>575412064</v>
          </cell>
        </row>
        <row r="130">
          <cell r="A130">
            <v>4014719</v>
          </cell>
          <cell r="B130" t="str">
            <v xml:space="preserve">이마트만촌점                  </v>
          </cell>
          <cell r="C130">
            <v>14866516</v>
          </cell>
          <cell r="D130">
            <v>19656917</v>
          </cell>
        </row>
        <row r="131">
          <cell r="A131">
            <v>4014723</v>
          </cell>
          <cell r="B131" t="str">
            <v xml:space="preserve">E-MART 만촌점                 </v>
          </cell>
          <cell r="C131">
            <v>34933263</v>
          </cell>
          <cell r="D131">
            <v>37195226</v>
          </cell>
        </row>
        <row r="132">
          <cell r="A132">
            <v>4014845</v>
          </cell>
          <cell r="B132" t="str">
            <v xml:space="preserve">이마트칠성점                  </v>
          </cell>
          <cell r="C132">
            <v>10341996</v>
          </cell>
          <cell r="D132">
            <v>14727234</v>
          </cell>
        </row>
        <row r="133">
          <cell r="A133">
            <v>4014850</v>
          </cell>
          <cell r="B133" t="str">
            <v xml:space="preserve">E-MART 칠성점                 </v>
          </cell>
          <cell r="C133">
            <v>24347534</v>
          </cell>
          <cell r="D133">
            <v>25009558</v>
          </cell>
        </row>
        <row r="134">
          <cell r="A134">
            <v>931305</v>
          </cell>
          <cell r="B134" t="str">
            <v xml:space="preserve">주재명    </v>
          </cell>
          <cell r="C134">
            <v>84489309</v>
          </cell>
          <cell r="D134">
            <v>96588935</v>
          </cell>
        </row>
        <row r="135">
          <cell r="A135">
            <v>4008985</v>
          </cell>
          <cell r="B135" t="str">
            <v xml:space="preserve">이마트김천점                  </v>
          </cell>
          <cell r="C135">
            <v>7134462</v>
          </cell>
          <cell r="D135">
            <v>9592379</v>
          </cell>
        </row>
        <row r="136">
          <cell r="A136">
            <v>4009822</v>
          </cell>
          <cell r="B136" t="str">
            <v xml:space="preserve">E-MART 김천점                 </v>
          </cell>
          <cell r="C136">
            <v>19190052</v>
          </cell>
          <cell r="D136">
            <v>19759410</v>
          </cell>
        </row>
        <row r="137">
          <cell r="A137">
            <v>4014738</v>
          </cell>
          <cell r="B137" t="str">
            <v xml:space="preserve">이마트월배점                  </v>
          </cell>
          <cell r="C137">
            <v>17982409</v>
          </cell>
          <cell r="D137">
            <v>24186409</v>
          </cell>
        </row>
        <row r="138">
          <cell r="A138">
            <v>4014742</v>
          </cell>
          <cell r="B138" t="str">
            <v xml:space="preserve">E-MART 월배점                 </v>
          </cell>
          <cell r="C138">
            <v>41415906</v>
          </cell>
          <cell r="D138">
            <v>42610042</v>
          </cell>
        </row>
        <row r="139">
          <cell r="A139">
            <v>4014864</v>
          </cell>
          <cell r="B139" t="str">
            <v xml:space="preserve">E-MART 구미점                 </v>
          </cell>
          <cell r="C139">
            <v>28395831</v>
          </cell>
          <cell r="D139">
            <v>30817013</v>
          </cell>
        </row>
        <row r="140">
          <cell r="A140">
            <v>4014879</v>
          </cell>
          <cell r="B140" t="str">
            <v xml:space="preserve">이마트구미점                  </v>
          </cell>
          <cell r="C140">
            <v>10783168</v>
          </cell>
          <cell r="D140">
            <v>14897289</v>
          </cell>
        </row>
        <row r="141">
          <cell r="A141">
            <v>4015244</v>
          </cell>
          <cell r="B141" t="str">
            <v xml:space="preserve">이마트성서점                  </v>
          </cell>
          <cell r="C141">
            <v>15251027</v>
          </cell>
          <cell r="D141">
            <v>22935187</v>
          </cell>
        </row>
        <row r="142">
          <cell r="A142">
            <v>4015333</v>
          </cell>
          <cell r="B142" t="str">
            <v xml:space="preserve">E-MART 성서점                 </v>
          </cell>
          <cell r="C142">
            <v>40794567</v>
          </cell>
          <cell r="D142">
            <v>41556238</v>
          </cell>
        </row>
        <row r="143">
          <cell r="A143">
            <v>973215</v>
          </cell>
          <cell r="B143" t="str">
            <v xml:space="preserve">김정윤    </v>
          </cell>
          <cell r="C143">
            <v>180947422</v>
          </cell>
          <cell r="D143">
            <v>206353967</v>
          </cell>
        </row>
        <row r="144">
          <cell r="A144">
            <v>4014826</v>
          </cell>
          <cell r="B144" t="str">
            <v xml:space="preserve">이마트포항점                  </v>
          </cell>
          <cell r="C144">
            <v>10186715</v>
          </cell>
          <cell r="D144">
            <v>15577342</v>
          </cell>
        </row>
        <row r="145">
          <cell r="A145">
            <v>4014831</v>
          </cell>
          <cell r="B145" t="str">
            <v xml:space="preserve">E-MART 포항점                 </v>
          </cell>
          <cell r="C145">
            <v>25325801</v>
          </cell>
          <cell r="D145">
            <v>26108937</v>
          </cell>
        </row>
        <row r="146">
          <cell r="A146">
            <v>990744</v>
          </cell>
          <cell r="B146" t="str">
            <v xml:space="preserve">최홍규    </v>
          </cell>
          <cell r="C146">
            <v>35512516</v>
          </cell>
          <cell r="D146">
            <v>41686279</v>
          </cell>
        </row>
        <row r="147">
          <cell r="A147">
            <v>30725100</v>
          </cell>
          <cell r="B147" t="str">
            <v xml:space="preserve">경북유통지점                  </v>
          </cell>
          <cell r="C147">
            <v>300949247</v>
          </cell>
          <cell r="D147">
            <v>344629181</v>
          </cell>
        </row>
        <row r="148">
          <cell r="A148">
            <v>30725100</v>
          </cell>
          <cell r="B148" t="str">
            <v xml:space="preserve">경북유통지점                  </v>
          </cell>
          <cell r="C148">
            <v>300949247</v>
          </cell>
          <cell r="D148">
            <v>344629181</v>
          </cell>
        </row>
        <row r="149">
          <cell r="A149">
            <v>3220889</v>
          </cell>
          <cell r="B149" t="str">
            <v xml:space="preserve">E-MART 창원점                 </v>
          </cell>
          <cell r="C149">
            <v>35882961</v>
          </cell>
          <cell r="D149">
            <v>37024185</v>
          </cell>
        </row>
        <row r="150">
          <cell r="A150">
            <v>3220894</v>
          </cell>
          <cell r="B150" t="str">
            <v xml:space="preserve">이마트 창원점                 </v>
          </cell>
          <cell r="C150">
            <v>17751156</v>
          </cell>
          <cell r="D150">
            <v>27806509</v>
          </cell>
        </row>
        <row r="151">
          <cell r="A151">
            <v>4508031</v>
          </cell>
          <cell r="B151" t="str">
            <v xml:space="preserve">이마트서부산점                </v>
          </cell>
          <cell r="C151">
            <v>14450210</v>
          </cell>
          <cell r="D151">
            <v>21320689</v>
          </cell>
        </row>
        <row r="152">
          <cell r="A152">
            <v>4510699</v>
          </cell>
          <cell r="B152" t="str">
            <v xml:space="preserve">E-MART 서부산점               </v>
          </cell>
          <cell r="C152">
            <v>36587695</v>
          </cell>
          <cell r="D152">
            <v>38424438</v>
          </cell>
        </row>
        <row r="153">
          <cell r="A153">
            <v>953524</v>
          </cell>
          <cell r="B153" t="str">
            <v xml:space="preserve">김태호    </v>
          </cell>
          <cell r="C153">
            <v>104672022</v>
          </cell>
          <cell r="D153">
            <v>124575821</v>
          </cell>
        </row>
        <row r="154">
          <cell r="A154">
            <v>3220791</v>
          </cell>
          <cell r="B154" t="str">
            <v xml:space="preserve">이마트 연제점                 </v>
          </cell>
          <cell r="C154">
            <v>15378577</v>
          </cell>
          <cell r="D154">
            <v>22469738</v>
          </cell>
        </row>
        <row r="155">
          <cell r="A155">
            <v>3220841</v>
          </cell>
          <cell r="B155" t="str">
            <v xml:space="preserve">E-MART 연제점                 </v>
          </cell>
          <cell r="C155">
            <v>35017827</v>
          </cell>
          <cell r="D155">
            <v>35840161</v>
          </cell>
        </row>
        <row r="156">
          <cell r="A156">
            <v>4513685</v>
          </cell>
          <cell r="B156" t="str">
            <v xml:space="preserve">이마트해운대점                </v>
          </cell>
          <cell r="C156">
            <v>15490095</v>
          </cell>
          <cell r="D156">
            <v>24673742</v>
          </cell>
        </row>
        <row r="157">
          <cell r="A157">
            <v>4513690</v>
          </cell>
          <cell r="B157" t="str">
            <v xml:space="preserve">E-MART 해운대점               </v>
          </cell>
          <cell r="C157">
            <v>31215132</v>
          </cell>
          <cell r="D157">
            <v>32536096</v>
          </cell>
        </row>
        <row r="158">
          <cell r="A158">
            <v>994967</v>
          </cell>
          <cell r="B158" t="str">
            <v xml:space="preserve">김상현    </v>
          </cell>
          <cell r="C158">
            <v>97101631</v>
          </cell>
          <cell r="D158">
            <v>115519737</v>
          </cell>
        </row>
        <row r="159">
          <cell r="A159">
            <v>30726100</v>
          </cell>
          <cell r="B159" t="str">
            <v xml:space="preserve">경남유통지점                  </v>
          </cell>
          <cell r="C159">
            <v>201773653</v>
          </cell>
          <cell r="D159">
            <v>240095558</v>
          </cell>
        </row>
        <row r="160">
          <cell r="A160">
            <v>30726100</v>
          </cell>
          <cell r="B160" t="str">
            <v xml:space="preserve">경남유통지점                  </v>
          </cell>
          <cell r="C160">
            <v>201773653</v>
          </cell>
          <cell r="D160">
            <v>240095558</v>
          </cell>
        </row>
        <row r="161">
          <cell r="A161">
            <v>30720000</v>
          </cell>
          <cell r="B161" t="str">
            <v xml:space="preserve">유통 영업본부                 </v>
          </cell>
          <cell r="C161">
            <v>1814473097</v>
          </cell>
          <cell r="D161">
            <v>2179891879</v>
          </cell>
        </row>
        <row r="162">
          <cell r="A162">
            <v>1326754</v>
          </cell>
          <cell r="B162" t="str">
            <v xml:space="preserve">E-MART 대모                   </v>
          </cell>
          <cell r="C162">
            <v>-246874798</v>
          </cell>
          <cell r="D162">
            <v>-856705157</v>
          </cell>
        </row>
        <row r="163">
          <cell r="A163">
            <v>1329403</v>
          </cell>
          <cell r="B163" t="str">
            <v xml:space="preserve">E-MART 대모(회계)             </v>
          </cell>
          <cell r="C163">
            <v>0</v>
          </cell>
          <cell r="D163">
            <v>604715</v>
          </cell>
        </row>
        <row r="164">
          <cell r="A164">
            <v>1329810</v>
          </cell>
          <cell r="B164" t="str">
            <v xml:space="preserve">E-MART 대구센타               </v>
          </cell>
          <cell r="C164">
            <v>273945980</v>
          </cell>
          <cell r="D164">
            <v>659445188</v>
          </cell>
        </row>
      </sheetData>
      <sheetData sheetId="5"/>
      <sheetData sheetId="6">
        <row r="1">
          <cell r="A1" t="str">
            <v>CODE</v>
          </cell>
          <cell r="B1" t="str">
            <v>NAME</v>
          </cell>
          <cell r="C1" t="str">
            <v>회계대체</v>
          </cell>
        </row>
        <row r="2">
          <cell r="A2">
            <v>1329810</v>
          </cell>
          <cell r="B2" t="str">
            <v xml:space="preserve">E-MART 대구센타               </v>
          </cell>
          <cell r="C2">
            <v>-223613500</v>
          </cell>
        </row>
        <row r="3">
          <cell r="A3">
            <v>1329403</v>
          </cell>
          <cell r="B3" t="str">
            <v xml:space="preserve">E-MART 대모(회계)             </v>
          </cell>
          <cell r="C3">
            <v>-203381838</v>
          </cell>
        </row>
        <row r="4">
          <cell r="A4">
            <v>2930541</v>
          </cell>
          <cell r="B4" t="str">
            <v xml:space="preserve">이마트가양점                  </v>
          </cell>
          <cell r="C4">
            <v>18773843</v>
          </cell>
        </row>
        <row r="5">
          <cell r="A5">
            <v>1918892</v>
          </cell>
          <cell r="B5" t="str">
            <v xml:space="preserve">이마트구로점                  </v>
          </cell>
          <cell r="C5">
            <v>16711486</v>
          </cell>
        </row>
        <row r="6">
          <cell r="A6">
            <v>4014879</v>
          </cell>
          <cell r="B6" t="str">
            <v xml:space="preserve">이마트구미점                  </v>
          </cell>
          <cell r="C6">
            <v>4114121</v>
          </cell>
        </row>
        <row r="7">
          <cell r="A7">
            <v>4150415</v>
          </cell>
          <cell r="B7" t="str">
            <v xml:space="preserve">이마트군산점                  </v>
          </cell>
          <cell r="C7">
            <v>10656294</v>
          </cell>
        </row>
        <row r="8">
          <cell r="A8">
            <v>4008985</v>
          </cell>
          <cell r="B8" t="str">
            <v xml:space="preserve">이마트김천점                  </v>
          </cell>
          <cell r="C8">
            <v>2457917</v>
          </cell>
        </row>
        <row r="9">
          <cell r="A9">
            <v>3405632</v>
          </cell>
          <cell r="B9" t="str">
            <v xml:space="preserve">이마트남원점                  </v>
          </cell>
          <cell r="C9">
            <v>1225125</v>
          </cell>
        </row>
        <row r="10">
          <cell r="A10">
            <v>3514803</v>
          </cell>
          <cell r="B10" t="str">
            <v xml:space="preserve">이마트동광주점                </v>
          </cell>
          <cell r="C10">
            <v>4738734</v>
          </cell>
        </row>
        <row r="11">
          <cell r="A11">
            <v>2923347</v>
          </cell>
          <cell r="B11" t="str">
            <v xml:space="preserve">이마트동인천점                </v>
          </cell>
          <cell r="C11">
            <v>8020298</v>
          </cell>
        </row>
        <row r="12">
          <cell r="A12">
            <v>3312119</v>
          </cell>
          <cell r="B12" t="str">
            <v xml:space="preserve">이마트둔산점                  </v>
          </cell>
          <cell r="C12">
            <v>11821018</v>
          </cell>
        </row>
        <row r="13">
          <cell r="A13">
            <v>4014719</v>
          </cell>
          <cell r="B13" t="str">
            <v xml:space="preserve">이마트만촌점                  </v>
          </cell>
          <cell r="C13">
            <v>4790401</v>
          </cell>
        </row>
        <row r="14">
          <cell r="A14">
            <v>3516410</v>
          </cell>
          <cell r="B14" t="str">
            <v xml:space="preserve">이마트목포점                  </v>
          </cell>
          <cell r="C14">
            <v>7375709</v>
          </cell>
        </row>
        <row r="15">
          <cell r="A15">
            <v>2930120</v>
          </cell>
          <cell r="B15" t="str">
            <v xml:space="preserve">이마트부천역사                </v>
          </cell>
          <cell r="C15">
            <v>14799191</v>
          </cell>
        </row>
        <row r="16">
          <cell r="A16">
            <v>1339086</v>
          </cell>
          <cell r="B16" t="str">
            <v xml:space="preserve">이마트부평점                  </v>
          </cell>
          <cell r="C16">
            <v>7726895</v>
          </cell>
        </row>
        <row r="17">
          <cell r="A17">
            <v>1507780</v>
          </cell>
          <cell r="B17" t="str">
            <v xml:space="preserve">이마트분당점                  </v>
          </cell>
          <cell r="C17">
            <v>12416217</v>
          </cell>
        </row>
        <row r="18">
          <cell r="A18">
            <v>3012880</v>
          </cell>
          <cell r="B18" t="str">
            <v xml:space="preserve">이마트산본점                  </v>
          </cell>
          <cell r="C18">
            <v>14773770</v>
          </cell>
        </row>
        <row r="19">
          <cell r="A19">
            <v>3517263</v>
          </cell>
          <cell r="B19" t="str">
            <v xml:space="preserve">이마트상무대점               </v>
          </cell>
          <cell r="C19">
            <v>3018048</v>
          </cell>
        </row>
        <row r="20">
          <cell r="A20">
            <v>1818000</v>
          </cell>
          <cell r="B20" t="str">
            <v xml:space="preserve">이마트상봉점                  </v>
          </cell>
          <cell r="C20">
            <v>21193623</v>
          </cell>
        </row>
        <row r="21">
          <cell r="A21">
            <v>4508031</v>
          </cell>
          <cell r="B21" t="str">
            <v xml:space="preserve">이마트서부산점                </v>
          </cell>
          <cell r="C21">
            <v>6870479</v>
          </cell>
        </row>
        <row r="22">
          <cell r="A22">
            <v>4015244</v>
          </cell>
          <cell r="B22" t="str">
            <v xml:space="preserve">이마트성서점                  </v>
          </cell>
          <cell r="C22">
            <v>7684160</v>
          </cell>
        </row>
        <row r="23">
          <cell r="A23">
            <v>1329578</v>
          </cell>
          <cell r="B23" t="str">
            <v xml:space="preserve">이마트성수점                  </v>
          </cell>
          <cell r="C23">
            <v>17724410</v>
          </cell>
        </row>
        <row r="24">
          <cell r="A24">
            <v>1329582</v>
          </cell>
          <cell r="B24" t="str">
            <v xml:space="preserve">이마트수서                   </v>
          </cell>
          <cell r="C24">
            <v>1106083</v>
          </cell>
        </row>
        <row r="25">
          <cell r="A25">
            <v>2923627</v>
          </cell>
          <cell r="B25" t="str">
            <v xml:space="preserve">이마트수원점                  </v>
          </cell>
          <cell r="C25">
            <v>7208641</v>
          </cell>
        </row>
        <row r="26">
          <cell r="A26">
            <v>3013186</v>
          </cell>
          <cell r="B26" t="str">
            <v xml:space="preserve">이마트시화점                  </v>
          </cell>
          <cell r="C26">
            <v>5758005</v>
          </cell>
        </row>
        <row r="27">
          <cell r="A27">
            <v>2930364</v>
          </cell>
          <cell r="B27" t="str">
            <v xml:space="preserve">이마트신월(E)                 </v>
          </cell>
          <cell r="C27">
            <v>3379915</v>
          </cell>
        </row>
        <row r="28">
          <cell r="A28">
            <v>1338972</v>
          </cell>
          <cell r="B28" t="str">
            <v xml:space="preserve">이마트안산점                  </v>
          </cell>
          <cell r="C28">
            <v>6015251</v>
          </cell>
        </row>
        <row r="29">
          <cell r="A29">
            <v>3007922</v>
          </cell>
          <cell r="B29" t="str">
            <v xml:space="preserve">이마트안양점                  </v>
          </cell>
          <cell r="C29">
            <v>13323794</v>
          </cell>
        </row>
        <row r="30">
          <cell r="A30">
            <v>4306028</v>
          </cell>
          <cell r="B30" t="str">
            <v xml:space="preserve">이마트여수점                  </v>
          </cell>
          <cell r="C30">
            <v>3753486</v>
          </cell>
        </row>
        <row r="31">
          <cell r="A31">
            <v>3220791</v>
          </cell>
          <cell r="B31" t="str">
            <v xml:space="preserve">이마트연제점                 </v>
          </cell>
          <cell r="C31">
            <v>7091161</v>
          </cell>
        </row>
        <row r="32">
          <cell r="A32">
            <v>3807985</v>
          </cell>
          <cell r="B32" t="str">
            <v xml:space="preserve">이마트원주점                  </v>
          </cell>
          <cell r="C32">
            <v>11165935</v>
          </cell>
        </row>
        <row r="33">
          <cell r="A33">
            <v>4014738</v>
          </cell>
          <cell r="B33" t="str">
            <v xml:space="preserve">이마트월배점                  </v>
          </cell>
          <cell r="C33">
            <v>6204000</v>
          </cell>
        </row>
        <row r="34">
          <cell r="A34">
            <v>1329245</v>
          </cell>
          <cell r="B34" t="str">
            <v xml:space="preserve">이마트은평점                  </v>
          </cell>
          <cell r="C34">
            <v>18814081</v>
          </cell>
        </row>
        <row r="35">
          <cell r="A35">
            <v>3013241</v>
          </cell>
          <cell r="B35" t="str">
            <v xml:space="preserve">이마트이천점                  </v>
          </cell>
          <cell r="C35">
            <v>6919594</v>
          </cell>
        </row>
        <row r="36">
          <cell r="A36">
            <v>2921190</v>
          </cell>
          <cell r="B36" t="str">
            <v xml:space="preserve">이마트인천점                  </v>
          </cell>
          <cell r="C36">
            <v>8390569</v>
          </cell>
        </row>
        <row r="37">
          <cell r="A37">
            <v>1338551</v>
          </cell>
          <cell r="B37" t="str">
            <v xml:space="preserve">이마트일산점                  </v>
          </cell>
          <cell r="C37">
            <v>13819168</v>
          </cell>
        </row>
        <row r="38">
          <cell r="A38">
            <v>3409046</v>
          </cell>
          <cell r="B38" t="str">
            <v xml:space="preserve">이마트전주점                  </v>
          </cell>
          <cell r="C38">
            <v>13073951</v>
          </cell>
        </row>
        <row r="39">
          <cell r="A39">
            <v>4103286</v>
          </cell>
          <cell r="B39" t="str">
            <v xml:space="preserve">이마트제주점                  </v>
          </cell>
          <cell r="C39">
            <v>7829503</v>
          </cell>
        </row>
        <row r="40">
          <cell r="A40">
            <v>4407369</v>
          </cell>
          <cell r="B40" t="str">
            <v xml:space="preserve">이마트진주점                  </v>
          </cell>
          <cell r="C40">
            <v>4275040</v>
          </cell>
        </row>
        <row r="41">
          <cell r="A41">
            <v>1326455</v>
          </cell>
          <cell r="B41" t="str">
            <v xml:space="preserve">이마트창동점                  </v>
          </cell>
          <cell r="C41">
            <v>12578753</v>
          </cell>
        </row>
        <row r="42">
          <cell r="A42">
            <v>3220894</v>
          </cell>
          <cell r="B42" t="str">
            <v xml:space="preserve">이마트창원점                 </v>
          </cell>
          <cell r="C42">
            <v>10055353</v>
          </cell>
        </row>
        <row r="43">
          <cell r="A43">
            <v>4604764</v>
          </cell>
          <cell r="B43" t="str">
            <v xml:space="preserve">이마트천안점                 </v>
          </cell>
          <cell r="C43">
            <v>8801771</v>
          </cell>
        </row>
        <row r="44">
          <cell r="A44">
            <v>1508175</v>
          </cell>
          <cell r="B44" t="str">
            <v xml:space="preserve">이마트천호점                  </v>
          </cell>
          <cell r="C44">
            <v>14486010</v>
          </cell>
        </row>
        <row r="45">
          <cell r="A45">
            <v>4603650</v>
          </cell>
          <cell r="B45" t="str">
            <v xml:space="preserve">이마트청주점                  </v>
          </cell>
          <cell r="C45">
            <v>5930936</v>
          </cell>
        </row>
        <row r="46">
          <cell r="A46">
            <v>4604867</v>
          </cell>
          <cell r="B46" t="str">
            <v xml:space="preserve">이마트충주점                  </v>
          </cell>
          <cell r="C46">
            <v>2274514</v>
          </cell>
        </row>
        <row r="47">
          <cell r="A47">
            <v>4014845</v>
          </cell>
          <cell r="B47" t="str">
            <v xml:space="preserve">이마트칠성점                  </v>
          </cell>
          <cell r="C47">
            <v>4385238</v>
          </cell>
        </row>
        <row r="48">
          <cell r="A48">
            <v>2923651</v>
          </cell>
          <cell r="B48" t="str">
            <v xml:space="preserve">이마트평택점                  </v>
          </cell>
          <cell r="C48">
            <v>7772435</v>
          </cell>
        </row>
        <row r="49">
          <cell r="A49">
            <v>4014826</v>
          </cell>
          <cell r="B49" t="str">
            <v xml:space="preserve">이마트포항점                  </v>
          </cell>
          <cell r="C49">
            <v>5390627</v>
          </cell>
        </row>
        <row r="50">
          <cell r="A50">
            <v>4513685</v>
          </cell>
          <cell r="B50" t="str">
            <v xml:space="preserve">이마트해운대점                </v>
          </cell>
          <cell r="C50">
            <v>9183647</v>
          </cell>
        </row>
        <row r="51">
          <cell r="A51">
            <v>2930135</v>
          </cell>
          <cell r="B51" t="str">
            <v xml:space="preserve">E-MART 부천역사               </v>
          </cell>
          <cell r="C51">
            <v>5103947.4000000004</v>
          </cell>
        </row>
        <row r="52">
          <cell r="A52">
            <v>3013191</v>
          </cell>
          <cell r="B52" t="str">
            <v xml:space="preserve">E-MART 시화점                 </v>
          </cell>
          <cell r="C52">
            <v>2289222.2000000002</v>
          </cell>
        </row>
        <row r="53">
          <cell r="A53">
            <v>3012160</v>
          </cell>
          <cell r="B53" t="str">
            <v xml:space="preserve">E-MART 안양점                 </v>
          </cell>
          <cell r="C53">
            <v>3722968.8</v>
          </cell>
        </row>
      </sheetData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(전사)"/>
      <sheetName val="손익(본부)"/>
      <sheetName val="손익(전사사료제외)"/>
      <sheetName val="경영계획 (2)"/>
      <sheetName val="손익(본부사료제외)"/>
      <sheetName val="경영계획"/>
      <sheetName val="전년동월"/>
      <sheetName val="손익(10월)"/>
      <sheetName val="전사"/>
      <sheetName val="식품(식품+물류)"/>
      <sheetName val="식품(물류미포함)"/>
      <sheetName val="식품(물류)"/>
      <sheetName val="전분당"/>
      <sheetName val="무역"/>
      <sheetName val="제약"/>
      <sheetName val="건설부문"/>
      <sheetName val="건설 (2)"/>
      <sheetName val="사업관리"/>
      <sheetName val="S개발"/>
      <sheetName val="커피"/>
      <sheetName val="건강"/>
      <sheetName val="비료"/>
      <sheetName val="농협물류"/>
      <sheetName val="본사"/>
      <sheetName val="사료"/>
      <sheetName val="유화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5" t="str">
            <v>1010</v>
          </cell>
          <cell r="B5" t="str">
            <v xml:space="preserve">*매출액*                      </v>
          </cell>
          <cell r="C5">
            <v>84021551383</v>
          </cell>
          <cell r="D5">
            <v>36638085921</v>
          </cell>
          <cell r="E5">
            <v>187770591</v>
          </cell>
          <cell r="F5">
            <v>36825856512</v>
          </cell>
          <cell r="G5">
            <v>17016085143</v>
          </cell>
          <cell r="H5">
            <v>9927265788</v>
          </cell>
          <cell r="I5">
            <v>2168821713</v>
          </cell>
          <cell r="J5">
            <v>17375000000</v>
          </cell>
          <cell r="K5">
            <v>1</v>
          </cell>
          <cell r="L5">
            <v>1</v>
          </cell>
          <cell r="M5">
            <v>17375000002</v>
          </cell>
          <cell r="N5">
            <v>527363374</v>
          </cell>
          <cell r="O5">
            <v>117607850</v>
          </cell>
          <cell r="P5">
            <v>63551000</v>
          </cell>
          <cell r="Q5">
            <v>1</v>
          </cell>
        </row>
        <row r="6">
          <cell r="A6" t="str">
            <v>1020</v>
          </cell>
          <cell r="B6" t="str">
            <v xml:space="preserve">매출                          </v>
          </cell>
          <cell r="C6">
            <v>81212029069</v>
          </cell>
          <cell r="D6">
            <v>36597637421</v>
          </cell>
          <cell r="E6">
            <v>187770591</v>
          </cell>
          <cell r="F6">
            <v>36785408012</v>
          </cell>
          <cell r="G6">
            <v>17012355543</v>
          </cell>
          <cell r="H6">
            <v>8422324187</v>
          </cell>
          <cell r="I6">
            <v>891419100</v>
          </cell>
          <cell r="J6">
            <v>17392000000</v>
          </cell>
          <cell r="K6">
            <v>1</v>
          </cell>
          <cell r="L6">
            <v>1</v>
          </cell>
          <cell r="M6">
            <v>17392000002</v>
          </cell>
          <cell r="N6">
            <v>527363374</v>
          </cell>
          <cell r="O6">
            <v>117607850</v>
          </cell>
          <cell r="P6">
            <v>63551000</v>
          </cell>
          <cell r="Q6">
            <v>1</v>
          </cell>
        </row>
        <row r="7">
          <cell r="A7" t="str">
            <v>1030</v>
          </cell>
          <cell r="B7" t="str">
            <v xml:space="preserve">수출                          </v>
          </cell>
          <cell r="C7">
            <v>2826522314</v>
          </cell>
          <cell r="D7">
            <v>40448500</v>
          </cell>
          <cell r="F7">
            <v>40448500</v>
          </cell>
          <cell r="G7">
            <v>3729600</v>
          </cell>
          <cell r="H7">
            <v>1504941601</v>
          </cell>
          <cell r="I7">
            <v>1277402613</v>
          </cell>
          <cell r="M7">
            <v>0</v>
          </cell>
        </row>
        <row r="8">
          <cell r="A8" t="str">
            <v>1035</v>
          </cell>
          <cell r="B8" t="str">
            <v xml:space="preserve">매출할인                 </v>
          </cell>
          <cell r="C8">
            <v>17000000</v>
          </cell>
          <cell r="F8">
            <v>0</v>
          </cell>
          <cell r="J8">
            <v>17000000</v>
          </cell>
          <cell r="M8">
            <v>17000000</v>
          </cell>
        </row>
        <row r="9">
          <cell r="A9" t="str">
            <v>1040</v>
          </cell>
          <cell r="B9" t="str">
            <v xml:space="preserve">*매출원가*                    </v>
          </cell>
          <cell r="C9">
            <v>65940911755</v>
          </cell>
          <cell r="D9">
            <v>24062199481</v>
          </cell>
          <cell r="E9">
            <v>152775491</v>
          </cell>
          <cell r="F9">
            <v>24214974972</v>
          </cell>
          <cell r="G9">
            <v>11582551406</v>
          </cell>
          <cell r="H9">
            <v>8560553951</v>
          </cell>
          <cell r="I9">
            <v>3154633415</v>
          </cell>
          <cell r="J9">
            <v>18038000000</v>
          </cell>
          <cell r="K9">
            <v>1</v>
          </cell>
          <cell r="L9">
            <v>1</v>
          </cell>
          <cell r="M9">
            <v>18038000002</v>
          </cell>
          <cell r="N9">
            <v>321739743</v>
          </cell>
          <cell r="O9">
            <v>68458263</v>
          </cell>
          <cell r="P9">
            <v>2</v>
          </cell>
          <cell r="Q9">
            <v>1</v>
          </cell>
        </row>
        <row r="10">
          <cell r="A10" t="str">
            <v>1080</v>
          </cell>
          <cell r="B10" t="str">
            <v xml:space="preserve">**매출총이익**                </v>
          </cell>
          <cell r="C10">
            <v>18080639628</v>
          </cell>
          <cell r="D10">
            <v>12575886440</v>
          </cell>
          <cell r="E10">
            <v>34995100</v>
          </cell>
          <cell r="F10">
            <v>12610881540</v>
          </cell>
          <cell r="G10">
            <v>5433533737</v>
          </cell>
          <cell r="H10">
            <v>1366711837</v>
          </cell>
          <cell r="I10">
            <v>-985811702</v>
          </cell>
          <cell r="J10">
            <v>-663000000</v>
          </cell>
          <cell r="K10">
            <v>0</v>
          </cell>
          <cell r="L10">
            <v>0</v>
          </cell>
          <cell r="M10">
            <v>-663000000</v>
          </cell>
          <cell r="N10">
            <v>205623631</v>
          </cell>
          <cell r="O10">
            <v>49149587</v>
          </cell>
          <cell r="P10">
            <v>63550998</v>
          </cell>
          <cell r="Q10">
            <v>0</v>
          </cell>
        </row>
        <row r="11">
          <cell r="A11" t="str">
            <v>1090</v>
          </cell>
          <cell r="B11" t="str">
            <v xml:space="preserve">＊＊판관비＊＊                </v>
          </cell>
          <cell r="C11">
            <v>11917768366</v>
          </cell>
          <cell r="D11">
            <v>8478739984</v>
          </cell>
          <cell r="E11">
            <v>0</v>
          </cell>
          <cell r="F11">
            <v>8478739984</v>
          </cell>
          <cell r="G11">
            <v>1040609591</v>
          </cell>
          <cell r="H11">
            <v>966906020</v>
          </cell>
          <cell r="I11">
            <v>243086860</v>
          </cell>
          <cell r="J11">
            <v>338099000</v>
          </cell>
          <cell r="K11">
            <v>83517178</v>
          </cell>
          <cell r="L11">
            <v>32372282</v>
          </cell>
          <cell r="M11">
            <v>453988460</v>
          </cell>
          <cell r="N11">
            <v>234749112</v>
          </cell>
          <cell r="O11">
            <v>50290673</v>
          </cell>
          <cell r="P11">
            <v>72897666</v>
          </cell>
          <cell r="Q11">
            <v>376500000</v>
          </cell>
        </row>
        <row r="12">
          <cell r="A12" t="str">
            <v>1100</v>
          </cell>
          <cell r="B12" t="str">
            <v xml:space="preserve">급료와임금                    </v>
          </cell>
          <cell r="C12">
            <v>1431656725</v>
          </cell>
          <cell r="D12">
            <v>1253393150</v>
          </cell>
          <cell r="E12">
            <v>0</v>
          </cell>
          <cell r="F12">
            <v>1253393150</v>
          </cell>
          <cell r="G12">
            <v>65594653</v>
          </cell>
          <cell r="H12">
            <v>91616401</v>
          </cell>
          <cell r="I12">
            <v>11825605</v>
          </cell>
          <cell r="J12">
            <v>74651000</v>
          </cell>
          <cell r="K12">
            <v>5919773</v>
          </cell>
          <cell r="M12">
            <v>80570773</v>
          </cell>
          <cell r="N12">
            <v>37081506</v>
          </cell>
          <cell r="O12">
            <v>13103185</v>
          </cell>
          <cell r="P12">
            <v>3471452</v>
          </cell>
          <cell r="Q12">
            <v>-125000000</v>
          </cell>
        </row>
        <row r="13">
          <cell r="A13" t="str">
            <v>1110</v>
          </cell>
          <cell r="B13" t="str">
            <v xml:space="preserve">잡급                          </v>
          </cell>
          <cell r="C13">
            <v>831848972</v>
          </cell>
          <cell r="D13">
            <v>819307740</v>
          </cell>
          <cell r="E13">
            <v>0</v>
          </cell>
          <cell r="F13">
            <v>819307740</v>
          </cell>
          <cell r="H13">
            <v>824999</v>
          </cell>
          <cell r="J13">
            <v>2771000</v>
          </cell>
          <cell r="M13">
            <v>2771000</v>
          </cell>
          <cell r="N13">
            <v>3993233</v>
          </cell>
          <cell r="P13">
            <v>4952000</v>
          </cell>
        </row>
        <row r="14">
          <cell r="A14" t="str">
            <v>1120</v>
          </cell>
          <cell r="B14" t="str">
            <v xml:space="preserve">상여금                        </v>
          </cell>
          <cell r="C14">
            <v>932275221</v>
          </cell>
          <cell r="D14">
            <v>371768459</v>
          </cell>
          <cell r="E14">
            <v>0</v>
          </cell>
          <cell r="F14">
            <v>371768459</v>
          </cell>
          <cell r="G14">
            <v>24461484</v>
          </cell>
          <cell r="H14">
            <v>31845897</v>
          </cell>
          <cell r="I14">
            <v>4404126</v>
          </cell>
          <cell r="J14">
            <v>53633000</v>
          </cell>
          <cell r="K14">
            <v>2402787</v>
          </cell>
          <cell r="M14">
            <v>56035787</v>
          </cell>
          <cell r="N14">
            <v>13209991</v>
          </cell>
          <cell r="O14">
            <v>4222602</v>
          </cell>
          <cell r="P14">
            <v>1326875</v>
          </cell>
          <cell r="Q14">
            <v>425000000</v>
          </cell>
        </row>
        <row r="15">
          <cell r="A15" t="str">
            <v>1130</v>
          </cell>
          <cell r="B15" t="str">
            <v xml:space="preserve">퇴직금                        </v>
          </cell>
          <cell r="C15">
            <v>446552723</v>
          </cell>
          <cell r="D15">
            <v>291074180</v>
          </cell>
          <cell r="E15">
            <v>0</v>
          </cell>
          <cell r="F15">
            <v>291074180</v>
          </cell>
          <cell r="G15">
            <v>16210109</v>
          </cell>
          <cell r="H15">
            <v>22223215</v>
          </cell>
          <cell r="I15">
            <v>2921349</v>
          </cell>
          <cell r="J15">
            <v>23091000</v>
          </cell>
          <cell r="K15">
            <v>1498061</v>
          </cell>
          <cell r="M15">
            <v>24589061</v>
          </cell>
          <cell r="N15">
            <v>9052468</v>
          </cell>
          <cell r="O15">
            <v>3118642</v>
          </cell>
          <cell r="P15">
            <v>863699</v>
          </cell>
          <cell r="Q15">
            <v>76500000</v>
          </cell>
        </row>
        <row r="16">
          <cell r="A16" t="str">
            <v>1135</v>
          </cell>
          <cell r="B16" t="str">
            <v xml:space="preserve">＊인건비계＊                  </v>
          </cell>
          <cell r="C16">
            <v>3642333641</v>
          </cell>
          <cell r="D16">
            <v>2735543529</v>
          </cell>
          <cell r="E16">
            <v>0</v>
          </cell>
          <cell r="F16">
            <v>2735543529</v>
          </cell>
          <cell r="G16">
            <v>106266246</v>
          </cell>
          <cell r="H16">
            <v>146510512</v>
          </cell>
          <cell r="I16">
            <v>19151080</v>
          </cell>
          <cell r="J16">
            <v>154146000</v>
          </cell>
          <cell r="K16">
            <v>9820621</v>
          </cell>
          <cell r="M16">
            <v>163966621</v>
          </cell>
          <cell r="N16">
            <v>63337198</v>
          </cell>
          <cell r="O16">
            <v>20444429</v>
          </cell>
          <cell r="P16">
            <v>10614026</v>
          </cell>
          <cell r="Q16">
            <v>376500000</v>
          </cell>
        </row>
        <row r="17">
          <cell r="A17" t="str">
            <v>1140</v>
          </cell>
          <cell r="B17" t="str">
            <v xml:space="preserve">복리후생비                    </v>
          </cell>
          <cell r="C17">
            <v>202607742</v>
          </cell>
          <cell r="D17">
            <v>139833877</v>
          </cell>
          <cell r="E17">
            <v>0</v>
          </cell>
          <cell r="F17">
            <v>139833877</v>
          </cell>
          <cell r="G17">
            <v>12028535</v>
          </cell>
          <cell r="H17">
            <v>22401173</v>
          </cell>
          <cell r="I17">
            <v>2715199</v>
          </cell>
          <cell r="J17">
            <v>9894000</v>
          </cell>
          <cell r="K17">
            <v>353000</v>
          </cell>
          <cell r="M17">
            <v>10247000</v>
          </cell>
          <cell r="N17">
            <v>12478659</v>
          </cell>
          <cell r="O17">
            <v>2466299</v>
          </cell>
          <cell r="P17">
            <v>437000</v>
          </cell>
        </row>
        <row r="18">
          <cell r="A18" t="str">
            <v>1150</v>
          </cell>
          <cell r="B18" t="str">
            <v xml:space="preserve">여비교통비                    </v>
          </cell>
          <cell r="C18">
            <v>341182231</v>
          </cell>
          <cell r="D18">
            <v>310234447</v>
          </cell>
          <cell r="E18">
            <v>0</v>
          </cell>
          <cell r="F18">
            <v>310234447</v>
          </cell>
          <cell r="G18">
            <v>726600</v>
          </cell>
          <cell r="H18">
            <v>18489643</v>
          </cell>
          <cell r="I18">
            <v>4031829</v>
          </cell>
          <cell r="J18">
            <v>3367000</v>
          </cell>
          <cell r="K18">
            <v>764700</v>
          </cell>
          <cell r="M18">
            <v>4131700</v>
          </cell>
          <cell r="N18">
            <v>3398012</v>
          </cell>
          <cell r="O18">
            <v>150000</v>
          </cell>
          <cell r="P18">
            <v>20000</v>
          </cell>
        </row>
        <row r="19">
          <cell r="A19" t="str">
            <v>1160</v>
          </cell>
          <cell r="B19" t="str">
            <v xml:space="preserve">교육훈련비                    </v>
          </cell>
          <cell r="C19">
            <v>9167311</v>
          </cell>
          <cell r="D19">
            <v>8756382</v>
          </cell>
          <cell r="F19">
            <v>8756382</v>
          </cell>
          <cell r="H19">
            <v>410929</v>
          </cell>
          <cell r="M19">
            <v>0</v>
          </cell>
        </row>
        <row r="20">
          <cell r="A20" t="str">
            <v>1170</v>
          </cell>
          <cell r="B20" t="str">
            <v xml:space="preserve">통신비                        </v>
          </cell>
          <cell r="C20">
            <v>111144248</v>
          </cell>
          <cell r="D20">
            <v>65485461</v>
          </cell>
          <cell r="E20">
            <v>0</v>
          </cell>
          <cell r="F20">
            <v>65485461</v>
          </cell>
          <cell r="G20">
            <v>4282658</v>
          </cell>
          <cell r="H20">
            <v>22090902</v>
          </cell>
          <cell r="I20">
            <v>2421416</v>
          </cell>
          <cell r="J20">
            <v>2858000</v>
          </cell>
          <cell r="K20">
            <v>25580</v>
          </cell>
          <cell r="M20">
            <v>2883580</v>
          </cell>
          <cell r="N20">
            <v>13436242</v>
          </cell>
          <cell r="O20">
            <v>469629</v>
          </cell>
          <cell r="P20">
            <v>74360</v>
          </cell>
        </row>
        <row r="21">
          <cell r="A21" t="str">
            <v>1180</v>
          </cell>
          <cell r="B21" t="str">
            <v xml:space="preserve">수도광열비                    </v>
          </cell>
          <cell r="C21">
            <v>38312276</v>
          </cell>
          <cell r="D21">
            <v>30210452</v>
          </cell>
          <cell r="F21">
            <v>30210452</v>
          </cell>
          <cell r="H21">
            <v>162761</v>
          </cell>
          <cell r="J21">
            <v>4083000</v>
          </cell>
          <cell r="K21">
            <v>3692281</v>
          </cell>
          <cell r="M21">
            <v>7775281</v>
          </cell>
          <cell r="N21">
            <v>163782</v>
          </cell>
        </row>
        <row r="22">
          <cell r="A22" t="str">
            <v>1190</v>
          </cell>
          <cell r="B22" t="str">
            <v xml:space="preserve">세금과공과                    </v>
          </cell>
          <cell r="C22">
            <v>358301797</v>
          </cell>
          <cell r="D22">
            <v>183214377</v>
          </cell>
          <cell r="F22">
            <v>183214377</v>
          </cell>
          <cell r="G22">
            <v>3629686</v>
          </cell>
          <cell r="H22">
            <v>1262499</v>
          </cell>
          <cell r="I22">
            <v>3784369</v>
          </cell>
          <cell r="J22">
            <v>100421000</v>
          </cell>
          <cell r="K22">
            <v>63615180</v>
          </cell>
          <cell r="M22">
            <v>164036180</v>
          </cell>
          <cell r="N22">
            <v>1684836</v>
          </cell>
          <cell r="O22">
            <v>689850</v>
          </cell>
        </row>
        <row r="23">
          <cell r="A23" t="str">
            <v>1200</v>
          </cell>
          <cell r="B23" t="str">
            <v xml:space="preserve">소모품비                      </v>
          </cell>
          <cell r="C23">
            <v>49375348</v>
          </cell>
          <cell r="D23">
            <v>34412155</v>
          </cell>
          <cell r="E23">
            <v>0</v>
          </cell>
          <cell r="F23">
            <v>34412155</v>
          </cell>
          <cell r="G23">
            <v>298596</v>
          </cell>
          <cell r="H23">
            <v>7362997</v>
          </cell>
          <cell r="I23">
            <v>3890001</v>
          </cell>
          <cell r="J23">
            <v>1572000</v>
          </cell>
          <cell r="K23">
            <v>229050</v>
          </cell>
          <cell r="M23">
            <v>1801050</v>
          </cell>
          <cell r="N23">
            <v>1417148</v>
          </cell>
          <cell r="O23">
            <v>94201</v>
          </cell>
          <cell r="P23">
            <v>99200</v>
          </cell>
        </row>
        <row r="24">
          <cell r="A24" t="str">
            <v>1210</v>
          </cell>
          <cell r="B24" t="str">
            <v xml:space="preserve">지급임차료                    </v>
          </cell>
          <cell r="C24">
            <v>42756928</v>
          </cell>
          <cell r="D24">
            <v>14314578</v>
          </cell>
          <cell r="E24">
            <v>0</v>
          </cell>
          <cell r="F24">
            <v>14314578</v>
          </cell>
          <cell r="G24">
            <v>17765999</v>
          </cell>
          <cell r="H24">
            <v>5286351</v>
          </cell>
          <cell r="J24">
            <v>4740000</v>
          </cell>
          <cell r="M24">
            <v>4740000</v>
          </cell>
          <cell r="P24">
            <v>650000</v>
          </cell>
        </row>
        <row r="25">
          <cell r="A25" t="str">
            <v>1220</v>
          </cell>
          <cell r="B25" t="str">
            <v xml:space="preserve">감가상각비                    </v>
          </cell>
          <cell r="C25">
            <v>280385651</v>
          </cell>
          <cell r="D25">
            <v>161019540</v>
          </cell>
          <cell r="F25">
            <v>161019540</v>
          </cell>
          <cell r="G25">
            <v>96499997</v>
          </cell>
          <cell r="H25">
            <v>6945557</v>
          </cell>
          <cell r="J25">
            <v>15000000</v>
          </cell>
          <cell r="M25">
            <v>15000000</v>
          </cell>
          <cell r="N25">
            <v>920557</v>
          </cell>
        </row>
        <row r="26">
          <cell r="A26" t="str">
            <v>1230</v>
          </cell>
          <cell r="B26" t="str">
            <v xml:space="preserve">수선비                        </v>
          </cell>
          <cell r="C26">
            <v>6481661</v>
          </cell>
          <cell r="D26">
            <v>5989512</v>
          </cell>
          <cell r="F26">
            <v>5989512</v>
          </cell>
          <cell r="J26">
            <v>270000</v>
          </cell>
          <cell r="K26">
            <v>204000</v>
          </cell>
          <cell r="M26">
            <v>474000</v>
          </cell>
          <cell r="N26">
            <v>18149</v>
          </cell>
        </row>
        <row r="27">
          <cell r="A27" t="str">
            <v>1240</v>
          </cell>
          <cell r="B27" t="str">
            <v xml:space="preserve">보험료                        </v>
          </cell>
          <cell r="C27">
            <v>27815593</v>
          </cell>
          <cell r="D27">
            <v>11712272</v>
          </cell>
          <cell r="F27">
            <v>11712272</v>
          </cell>
          <cell r="H27">
            <v>14690634</v>
          </cell>
          <cell r="I27">
            <v>1411609</v>
          </cell>
          <cell r="M27">
            <v>0</v>
          </cell>
          <cell r="N27">
            <v>1078</v>
          </cell>
        </row>
        <row r="28">
          <cell r="A28" t="str">
            <v>1250</v>
          </cell>
          <cell r="B28" t="str">
            <v xml:space="preserve">접대비                        </v>
          </cell>
          <cell r="C28">
            <v>56993885</v>
          </cell>
          <cell r="D28">
            <v>22630491</v>
          </cell>
          <cell r="F28">
            <v>22630491</v>
          </cell>
          <cell r="G28">
            <v>16708961</v>
          </cell>
          <cell r="H28">
            <v>4789988</v>
          </cell>
          <cell r="I28">
            <v>5449870</v>
          </cell>
          <cell r="J28">
            <v>433000</v>
          </cell>
          <cell r="K28">
            <v>78000</v>
          </cell>
          <cell r="M28">
            <v>511000</v>
          </cell>
          <cell r="N28">
            <v>6903575</v>
          </cell>
        </row>
        <row r="29">
          <cell r="A29" t="str">
            <v>1270</v>
          </cell>
          <cell r="B29" t="str">
            <v xml:space="preserve">광고선전비                    </v>
          </cell>
          <cell r="C29">
            <v>1342011212</v>
          </cell>
          <cell r="D29">
            <v>1295293924</v>
          </cell>
          <cell r="F29">
            <v>1295293924</v>
          </cell>
          <cell r="G29">
            <v>9218183</v>
          </cell>
          <cell r="H29">
            <v>7747635</v>
          </cell>
          <cell r="M29">
            <v>0</v>
          </cell>
          <cell r="N29">
            <v>29201470</v>
          </cell>
          <cell r="O29">
            <v>550000</v>
          </cell>
        </row>
        <row r="30">
          <cell r="A30" t="str">
            <v>1280</v>
          </cell>
          <cell r="B30" t="str">
            <v xml:space="preserve">운반비                        </v>
          </cell>
          <cell r="C30">
            <v>1416051374</v>
          </cell>
          <cell r="D30">
            <v>613995936</v>
          </cell>
          <cell r="E30">
            <v>0</v>
          </cell>
          <cell r="F30">
            <v>613995936</v>
          </cell>
          <cell r="G30">
            <v>469523733</v>
          </cell>
          <cell r="H30">
            <v>218616109</v>
          </cell>
          <cell r="I30">
            <v>23049603</v>
          </cell>
          <cell r="J30">
            <v>740000</v>
          </cell>
          <cell r="M30">
            <v>740000</v>
          </cell>
          <cell r="N30">
            <v>9481173</v>
          </cell>
          <cell r="O30">
            <v>19698540</v>
          </cell>
          <cell r="P30">
            <v>60946280</v>
          </cell>
        </row>
        <row r="31">
          <cell r="A31" t="str">
            <v>1285</v>
          </cell>
          <cell r="B31" t="str">
            <v xml:space="preserve">용역비                        </v>
          </cell>
          <cell r="C31">
            <v>76238952</v>
          </cell>
          <cell r="D31">
            <v>15171951</v>
          </cell>
          <cell r="E31">
            <v>0</v>
          </cell>
          <cell r="F31">
            <v>15171951</v>
          </cell>
          <cell r="G31">
            <v>59167381</v>
          </cell>
          <cell r="M31">
            <v>0</v>
          </cell>
          <cell r="N31">
            <v>1869620</v>
          </cell>
          <cell r="P31">
            <v>30000</v>
          </cell>
        </row>
        <row r="32">
          <cell r="A32" t="str">
            <v>1290</v>
          </cell>
          <cell r="B32" t="str">
            <v xml:space="preserve">차량유지비                    </v>
          </cell>
          <cell r="C32">
            <v>32534014</v>
          </cell>
          <cell r="D32">
            <v>21597792</v>
          </cell>
          <cell r="F32">
            <v>21597792</v>
          </cell>
          <cell r="G32">
            <v>2056705</v>
          </cell>
          <cell r="H32">
            <v>5780672</v>
          </cell>
          <cell r="I32">
            <v>699300</v>
          </cell>
          <cell r="J32">
            <v>1739000</v>
          </cell>
          <cell r="M32">
            <v>1739000</v>
          </cell>
          <cell r="N32">
            <v>660545</v>
          </cell>
        </row>
        <row r="33">
          <cell r="A33" t="str">
            <v>1300</v>
          </cell>
          <cell r="B33" t="str">
            <v xml:space="preserve">도서비                        </v>
          </cell>
          <cell r="C33">
            <v>3005520</v>
          </cell>
          <cell r="D33">
            <v>1317463</v>
          </cell>
          <cell r="E33">
            <v>0</v>
          </cell>
          <cell r="F33">
            <v>1317463</v>
          </cell>
          <cell r="G33">
            <v>47004</v>
          </cell>
          <cell r="H33">
            <v>724309</v>
          </cell>
          <cell r="I33">
            <v>222999</v>
          </cell>
          <cell r="J33">
            <v>663000</v>
          </cell>
          <cell r="M33">
            <v>663000</v>
          </cell>
          <cell r="N33">
            <v>21745</v>
          </cell>
          <cell r="P33">
            <v>9000</v>
          </cell>
        </row>
        <row r="34">
          <cell r="A34" t="str">
            <v>1310</v>
          </cell>
          <cell r="B34" t="str">
            <v xml:space="preserve">지급수수료                    </v>
          </cell>
          <cell r="C34">
            <v>386058141</v>
          </cell>
          <cell r="D34">
            <v>161127291</v>
          </cell>
          <cell r="E34">
            <v>0</v>
          </cell>
          <cell r="F34">
            <v>161127291</v>
          </cell>
          <cell r="G34">
            <v>2223134</v>
          </cell>
          <cell r="H34">
            <v>138868396</v>
          </cell>
          <cell r="I34">
            <v>45258468</v>
          </cell>
          <cell r="J34">
            <v>30614000</v>
          </cell>
          <cell r="K34">
            <v>3985313</v>
          </cell>
          <cell r="M34">
            <v>34599313</v>
          </cell>
          <cell r="N34">
            <v>2518414</v>
          </cell>
          <cell r="O34">
            <v>1445325</v>
          </cell>
          <cell r="P34">
            <v>17800</v>
          </cell>
        </row>
        <row r="35">
          <cell r="A35" t="str">
            <v>1320</v>
          </cell>
          <cell r="B35" t="str">
            <v xml:space="preserve">판매장려금                    </v>
          </cell>
          <cell r="C35">
            <v>1196148426</v>
          </cell>
          <cell r="D35">
            <v>1174822426</v>
          </cell>
          <cell r="F35">
            <v>1174822426</v>
          </cell>
          <cell r="M35">
            <v>0</v>
          </cell>
          <cell r="N35">
            <v>21072000</v>
          </cell>
          <cell r="O35">
            <v>254000</v>
          </cell>
        </row>
        <row r="36">
          <cell r="A36" t="str">
            <v>1340</v>
          </cell>
          <cell r="B36" t="str">
            <v xml:space="preserve">잡비                          </v>
          </cell>
          <cell r="C36">
            <v>172000</v>
          </cell>
          <cell r="F36">
            <v>0</v>
          </cell>
          <cell r="J36">
            <v>172000</v>
          </cell>
          <cell r="M36">
            <v>172000</v>
          </cell>
        </row>
        <row r="37">
          <cell r="A37" t="str">
            <v>1350</v>
          </cell>
          <cell r="B37" t="str">
            <v xml:space="preserve">견본비                        </v>
          </cell>
          <cell r="C37">
            <v>2747747</v>
          </cell>
          <cell r="D37">
            <v>1662747</v>
          </cell>
          <cell r="F37">
            <v>1662747</v>
          </cell>
          <cell r="M37">
            <v>0</v>
          </cell>
          <cell r="N37">
            <v>1085000</v>
          </cell>
        </row>
        <row r="38">
          <cell r="A38" t="str">
            <v>1370</v>
          </cell>
          <cell r="B38" t="str">
            <v xml:space="preserve">판매수수료                    </v>
          </cell>
          <cell r="C38">
            <v>359373729</v>
          </cell>
          <cell r="D38">
            <v>321074880</v>
          </cell>
          <cell r="F38">
            <v>321074880</v>
          </cell>
          <cell r="H38">
            <v>34370449</v>
          </cell>
          <cell r="M38">
            <v>0</v>
          </cell>
          <cell r="O38">
            <v>3928400</v>
          </cell>
        </row>
        <row r="39">
          <cell r="A39" t="str">
            <v>1380</v>
          </cell>
          <cell r="B39" t="str">
            <v xml:space="preserve">대손충당금전입액              </v>
          </cell>
          <cell r="C39">
            <v>41666663</v>
          </cell>
          <cell r="D39">
            <v>41666663</v>
          </cell>
          <cell r="F39">
            <v>41666663</v>
          </cell>
          <cell r="M39">
            <v>0</v>
          </cell>
        </row>
        <row r="40">
          <cell r="A40" t="str">
            <v>1390</v>
          </cell>
          <cell r="B40" t="str">
            <v xml:space="preserve">판매촉진비                    </v>
          </cell>
          <cell r="C40">
            <v>572498669</v>
          </cell>
          <cell r="D40">
            <v>550658086</v>
          </cell>
          <cell r="F40">
            <v>550658086</v>
          </cell>
          <cell r="M40">
            <v>0</v>
          </cell>
          <cell r="N40">
            <v>21740583</v>
          </cell>
          <cell r="O40">
            <v>100000</v>
          </cell>
        </row>
        <row r="41">
          <cell r="A41" t="str">
            <v>1400</v>
          </cell>
          <cell r="B41" t="str">
            <v xml:space="preserve">경상연구개발비                </v>
          </cell>
          <cell r="C41">
            <v>474518363</v>
          </cell>
          <cell r="D41">
            <v>133106693</v>
          </cell>
          <cell r="F41">
            <v>133106693</v>
          </cell>
          <cell r="G41">
            <v>67630380</v>
          </cell>
          <cell r="H41">
            <v>185061671</v>
          </cell>
          <cell r="I41">
            <v>74777762</v>
          </cell>
          <cell r="M41">
            <v>0</v>
          </cell>
          <cell r="N41">
            <v>13941857</v>
          </cell>
        </row>
        <row r="42">
          <cell r="A42" t="str">
            <v>1401</v>
          </cell>
          <cell r="B42" t="str">
            <v xml:space="preserve">무형자산상각비     </v>
          </cell>
          <cell r="C42">
            <v>2186000</v>
          </cell>
          <cell r="F42">
            <v>0</v>
          </cell>
          <cell r="J42">
            <v>2186000</v>
          </cell>
          <cell r="M42">
            <v>2186000</v>
          </cell>
        </row>
        <row r="43">
          <cell r="A43" t="str">
            <v>1403</v>
          </cell>
          <cell r="B43" t="str">
            <v xml:space="preserve">빌딩관리비              </v>
          </cell>
          <cell r="C43">
            <v>5201000</v>
          </cell>
          <cell r="F43">
            <v>0</v>
          </cell>
          <cell r="J43">
            <v>5201000</v>
          </cell>
          <cell r="M43">
            <v>5201000</v>
          </cell>
        </row>
        <row r="44">
          <cell r="A44" t="str">
            <v>1420</v>
          </cell>
          <cell r="B44" t="str">
            <v xml:space="preserve">포장비                        </v>
          </cell>
          <cell r="C44">
            <v>165681925</v>
          </cell>
          <cell r="D44">
            <v>156828297</v>
          </cell>
          <cell r="F44">
            <v>156828297</v>
          </cell>
          <cell r="M44">
            <v>0</v>
          </cell>
          <cell r="N44">
            <v>8853628</v>
          </cell>
        </row>
        <row r="45">
          <cell r="A45" t="str">
            <v>1423</v>
          </cell>
          <cell r="B45" t="str">
            <v xml:space="preserve">대행성경비                    </v>
          </cell>
          <cell r="C45">
            <v>674816319</v>
          </cell>
          <cell r="D45">
            <v>267058762</v>
          </cell>
          <cell r="F45">
            <v>267058762</v>
          </cell>
          <cell r="G45">
            <v>172535793</v>
          </cell>
          <cell r="H45">
            <v>125332833</v>
          </cell>
          <cell r="I45">
            <v>56223355</v>
          </cell>
          <cell r="K45">
            <v>749453</v>
          </cell>
          <cell r="L45">
            <v>32372282</v>
          </cell>
          <cell r="M45">
            <v>33121735</v>
          </cell>
          <cell r="N45">
            <v>20543841</v>
          </cell>
        </row>
        <row r="46">
          <cell r="A46" t="str">
            <v>1430</v>
          </cell>
          <cell r="B46" t="str">
            <v xml:space="preserve">**영업이익**                  </v>
          </cell>
          <cell r="C46">
            <v>6162871262</v>
          </cell>
          <cell r="D46">
            <v>4097146456</v>
          </cell>
          <cell r="E46">
            <v>34995100</v>
          </cell>
          <cell r="F46">
            <v>4132141556</v>
          </cell>
          <cell r="G46">
            <v>4392924146</v>
          </cell>
          <cell r="H46">
            <v>399805817</v>
          </cell>
          <cell r="I46">
            <v>-1228898562</v>
          </cell>
          <cell r="J46">
            <v>-1001099000</v>
          </cell>
          <cell r="K46">
            <v>-83517178</v>
          </cell>
          <cell r="L46">
            <v>-32372282</v>
          </cell>
          <cell r="M46">
            <v>-1116988460</v>
          </cell>
          <cell r="N46">
            <v>-29125481</v>
          </cell>
          <cell r="O46">
            <v>-1141086</v>
          </cell>
          <cell r="P46">
            <v>-9346668</v>
          </cell>
          <cell r="Q46">
            <v>-376500000</v>
          </cell>
        </row>
        <row r="47">
          <cell r="A47" t="str">
            <v>1440</v>
          </cell>
          <cell r="B47" t="str">
            <v xml:space="preserve">*영업외수익*                  </v>
          </cell>
          <cell r="C47">
            <v>2874659693</v>
          </cell>
          <cell r="D47">
            <v>29449800</v>
          </cell>
          <cell r="F47">
            <v>29449800</v>
          </cell>
          <cell r="G47">
            <v>457036965</v>
          </cell>
          <cell r="H47">
            <v>96318077</v>
          </cell>
          <cell r="I47">
            <v>20455700</v>
          </cell>
          <cell r="J47">
            <v>100000000</v>
          </cell>
          <cell r="K47">
            <v>98873182</v>
          </cell>
          <cell r="M47">
            <v>198873182</v>
          </cell>
          <cell r="N47">
            <v>85954</v>
          </cell>
          <cell r="Q47">
            <v>2072440015</v>
          </cell>
        </row>
        <row r="48">
          <cell r="A48" t="str">
            <v>1450</v>
          </cell>
          <cell r="B48" t="str">
            <v xml:space="preserve">이자수익                      </v>
          </cell>
          <cell r="C48">
            <v>1693105960</v>
          </cell>
          <cell r="D48">
            <v>4691</v>
          </cell>
          <cell r="F48">
            <v>4691</v>
          </cell>
          <cell r="J48">
            <v>33000000</v>
          </cell>
          <cell r="M48">
            <v>33000000</v>
          </cell>
          <cell r="N48">
            <v>22269</v>
          </cell>
          <cell r="Q48">
            <v>1660079000</v>
          </cell>
        </row>
        <row r="49">
          <cell r="A49" t="str">
            <v>1470</v>
          </cell>
          <cell r="B49" t="str">
            <v xml:space="preserve">수입임대료                    </v>
          </cell>
          <cell r="C49">
            <v>68886408</v>
          </cell>
          <cell r="D49">
            <v>8808385</v>
          </cell>
          <cell r="F49">
            <v>8808385</v>
          </cell>
          <cell r="G49">
            <v>6837641</v>
          </cell>
          <cell r="K49">
            <v>20672728</v>
          </cell>
          <cell r="M49">
            <v>20672728</v>
          </cell>
          <cell r="N49">
            <v>41654</v>
          </cell>
          <cell r="Q49">
            <v>32526000</v>
          </cell>
        </row>
        <row r="50">
          <cell r="A50" t="str">
            <v>1480</v>
          </cell>
          <cell r="B50" t="str">
            <v xml:space="preserve">잡이익                        </v>
          </cell>
          <cell r="C50">
            <v>543837439</v>
          </cell>
          <cell r="D50">
            <v>20634645</v>
          </cell>
          <cell r="F50">
            <v>20634645</v>
          </cell>
          <cell r="G50">
            <v>4990152</v>
          </cell>
          <cell r="H50">
            <v>22581325</v>
          </cell>
          <cell r="I50">
            <v>7469305</v>
          </cell>
          <cell r="J50">
            <v>67000000</v>
          </cell>
          <cell r="K50">
            <v>78200454</v>
          </cell>
          <cell r="M50">
            <v>145200454</v>
          </cell>
          <cell r="N50">
            <v>22031</v>
          </cell>
          <cell r="Q50">
            <v>342939527</v>
          </cell>
        </row>
        <row r="51">
          <cell r="A51" t="str">
            <v>1490</v>
          </cell>
          <cell r="B51" t="str">
            <v xml:space="preserve">외환차익                      </v>
          </cell>
          <cell r="C51">
            <v>568829886</v>
          </cell>
          <cell r="D51">
            <v>2079</v>
          </cell>
          <cell r="F51">
            <v>2079</v>
          </cell>
          <cell r="G51">
            <v>445209172</v>
          </cell>
          <cell r="H51">
            <v>73736752</v>
          </cell>
          <cell r="I51">
            <v>12986395</v>
          </cell>
          <cell r="M51">
            <v>0</v>
          </cell>
          <cell r="Q51">
            <v>36895488</v>
          </cell>
        </row>
        <row r="52">
          <cell r="A52" t="str">
            <v>1510</v>
          </cell>
          <cell r="B52" t="str">
            <v xml:space="preserve">*영업외비용*                  </v>
          </cell>
          <cell r="C52">
            <v>12137922668</v>
          </cell>
          <cell r="D52">
            <v>1925282080</v>
          </cell>
          <cell r="F52">
            <v>1925282080</v>
          </cell>
          <cell r="G52">
            <v>707679389</v>
          </cell>
          <cell r="H52">
            <v>942300766</v>
          </cell>
          <cell r="I52">
            <v>626666681</v>
          </cell>
          <cell r="J52">
            <v>1535511000</v>
          </cell>
          <cell r="K52">
            <v>2076481000</v>
          </cell>
          <cell r="L52">
            <v>3062458000</v>
          </cell>
          <cell r="M52">
            <v>6674450000</v>
          </cell>
          <cell r="N52">
            <v>19898166</v>
          </cell>
          <cell r="O52">
            <v>16366001</v>
          </cell>
          <cell r="Q52">
            <v>1225279585</v>
          </cell>
        </row>
        <row r="53">
          <cell r="A53" t="str">
            <v>1520</v>
          </cell>
          <cell r="B53" t="str">
            <v xml:space="preserve">이자비용                      </v>
          </cell>
          <cell r="C53">
            <v>10698584959</v>
          </cell>
          <cell r="D53">
            <v>1345553959</v>
          </cell>
          <cell r="F53">
            <v>1345553959</v>
          </cell>
          <cell r="G53">
            <v>693554001</v>
          </cell>
          <cell r="H53">
            <v>821456998</v>
          </cell>
          <cell r="I53">
            <v>611567000</v>
          </cell>
          <cell r="J53">
            <v>1509511000</v>
          </cell>
          <cell r="K53">
            <v>2076481000</v>
          </cell>
          <cell r="L53">
            <v>3062458000</v>
          </cell>
          <cell r="M53">
            <v>6648450000</v>
          </cell>
          <cell r="N53">
            <v>15774000</v>
          </cell>
          <cell r="O53">
            <v>16366001</v>
          </cell>
          <cell r="Q53">
            <v>545863000</v>
          </cell>
        </row>
        <row r="54">
          <cell r="A54" t="str">
            <v>1521</v>
          </cell>
          <cell r="B54" t="str">
            <v xml:space="preserve">이자비용２             </v>
          </cell>
          <cell r="C54">
            <v>133972</v>
          </cell>
          <cell r="F54">
            <v>0</v>
          </cell>
          <cell r="G54">
            <v>133972</v>
          </cell>
          <cell r="M54">
            <v>0</v>
          </cell>
        </row>
        <row r="55">
          <cell r="A55" t="str">
            <v>1540</v>
          </cell>
          <cell r="B55" t="str">
            <v xml:space="preserve">외환차손                      </v>
          </cell>
          <cell r="C55">
            <v>199784741</v>
          </cell>
          <cell r="D55">
            <v>709989</v>
          </cell>
          <cell r="F55">
            <v>709989</v>
          </cell>
          <cell r="G55">
            <v>9741408</v>
          </cell>
          <cell r="H55">
            <v>120843768</v>
          </cell>
          <cell r="I55">
            <v>15099681</v>
          </cell>
          <cell r="M55">
            <v>0</v>
          </cell>
          <cell r="Q55">
            <v>53389895</v>
          </cell>
        </row>
        <row r="56">
          <cell r="A56" t="str">
            <v>1550</v>
          </cell>
          <cell r="B56" t="str">
            <v xml:space="preserve">기부금                        </v>
          </cell>
          <cell r="C56">
            <v>78510116</v>
          </cell>
          <cell r="D56">
            <v>73210113</v>
          </cell>
          <cell r="F56">
            <v>73210113</v>
          </cell>
          <cell r="G56">
            <v>4250003</v>
          </cell>
          <cell r="M56">
            <v>0</v>
          </cell>
          <cell r="Q56">
            <v>1050000</v>
          </cell>
        </row>
        <row r="57">
          <cell r="A57" t="str">
            <v>1560</v>
          </cell>
          <cell r="B57" t="str">
            <v xml:space="preserve">잡손실                        </v>
          </cell>
          <cell r="C57">
            <v>29644801</v>
          </cell>
          <cell r="D57">
            <v>3488248</v>
          </cell>
          <cell r="F57">
            <v>3488248</v>
          </cell>
          <cell r="G57">
            <v>5</v>
          </cell>
          <cell r="J57">
            <v>26000000</v>
          </cell>
          <cell r="M57">
            <v>26000000</v>
          </cell>
          <cell r="N57">
            <v>11274</v>
          </cell>
          <cell r="Q57">
            <v>145274</v>
          </cell>
        </row>
        <row r="58">
          <cell r="A58" t="str">
            <v>1565</v>
          </cell>
          <cell r="B58" t="str">
            <v xml:space="preserve">반품폐기손실                  </v>
          </cell>
          <cell r="C58">
            <v>506432663</v>
          </cell>
          <cell r="D58">
            <v>502319771</v>
          </cell>
          <cell r="F58">
            <v>502319771</v>
          </cell>
          <cell r="M58">
            <v>0</v>
          </cell>
          <cell r="N58">
            <v>4112892</v>
          </cell>
        </row>
        <row r="59">
          <cell r="A59" t="str">
            <v>1595</v>
          </cell>
          <cell r="B59" t="str">
            <v xml:space="preserve">사채할인발행차금상각 </v>
          </cell>
          <cell r="C59">
            <v>624831416</v>
          </cell>
          <cell r="F59">
            <v>0</v>
          </cell>
          <cell r="M59">
            <v>0</v>
          </cell>
          <cell r="Q59">
            <v>624831416</v>
          </cell>
        </row>
        <row r="60">
          <cell r="A60" t="str">
            <v>1603</v>
          </cell>
          <cell r="B60" t="str">
            <v xml:space="preserve">재고자산폐기손실              </v>
          </cell>
          <cell r="C60">
            <v>0</v>
          </cell>
          <cell r="D60">
            <v>0</v>
          </cell>
          <cell r="F60">
            <v>0</v>
          </cell>
          <cell r="M60">
            <v>0</v>
          </cell>
          <cell r="N60">
            <v>0</v>
          </cell>
        </row>
        <row r="61">
          <cell r="A61" t="str">
            <v>1620</v>
          </cell>
          <cell r="B61" t="str">
            <v xml:space="preserve">**경상이익**                  </v>
          </cell>
          <cell r="C61">
            <v>-3100391713</v>
          </cell>
          <cell r="D61">
            <v>2201314176</v>
          </cell>
          <cell r="E61">
            <v>34995100</v>
          </cell>
          <cell r="F61">
            <v>2236309276</v>
          </cell>
          <cell r="G61">
            <v>4142281722</v>
          </cell>
          <cell r="H61">
            <v>-446176872</v>
          </cell>
          <cell r="I61">
            <v>-1835109543</v>
          </cell>
          <cell r="J61">
            <v>-2436610000</v>
          </cell>
          <cell r="K61">
            <v>-2061124996</v>
          </cell>
          <cell r="L61">
            <v>-3094830282</v>
          </cell>
          <cell r="M61">
            <v>-7592565278</v>
          </cell>
          <cell r="N61">
            <v>-48937693</v>
          </cell>
          <cell r="O61">
            <v>-17507087</v>
          </cell>
          <cell r="P61">
            <v>-9346668</v>
          </cell>
          <cell r="Q61">
            <v>470660430</v>
          </cell>
        </row>
        <row r="62">
          <cell r="A62" t="str">
            <v>1623</v>
          </cell>
          <cell r="B62" t="str">
            <v xml:space="preserve">본사공통경비                  </v>
          </cell>
          <cell r="C62">
            <v>1276759271</v>
          </cell>
          <cell r="D62">
            <v>558719857</v>
          </cell>
          <cell r="F62">
            <v>558719857</v>
          </cell>
          <cell r="G62">
            <v>447133603</v>
          </cell>
          <cell r="H62">
            <v>270905811</v>
          </cell>
          <cell r="M62">
            <v>0</v>
          </cell>
        </row>
        <row r="63">
          <cell r="A63" t="str">
            <v>1624</v>
          </cell>
          <cell r="B63" t="str">
            <v xml:space="preserve">*본사공통경비*                </v>
          </cell>
          <cell r="C63">
            <v>1276759271</v>
          </cell>
          <cell r="D63">
            <v>558719857</v>
          </cell>
          <cell r="F63">
            <v>558719857</v>
          </cell>
          <cell r="G63">
            <v>447133603</v>
          </cell>
          <cell r="H63">
            <v>270905811</v>
          </cell>
          <cell r="M63">
            <v>0</v>
          </cell>
        </row>
        <row r="64">
          <cell r="A64" t="str">
            <v>1625</v>
          </cell>
          <cell r="B64" t="str">
            <v xml:space="preserve">**경상이익2**                 </v>
          </cell>
          <cell r="C64">
            <v>-4377150984</v>
          </cell>
          <cell r="D64">
            <v>1642594319</v>
          </cell>
          <cell r="E64">
            <v>34995100</v>
          </cell>
          <cell r="F64">
            <v>1677589419</v>
          </cell>
          <cell r="G64">
            <v>3695148119</v>
          </cell>
          <cell r="H64">
            <v>-717082683</v>
          </cell>
          <cell r="I64">
            <v>-1835109543</v>
          </cell>
          <cell r="J64">
            <v>-2436610000</v>
          </cell>
          <cell r="K64">
            <v>-2061124996</v>
          </cell>
          <cell r="L64">
            <v>-3094830282</v>
          </cell>
          <cell r="M64">
            <v>-7592565278</v>
          </cell>
          <cell r="N64">
            <v>-48937693</v>
          </cell>
          <cell r="O64">
            <v>-17507087</v>
          </cell>
          <cell r="P64">
            <v>-9346668</v>
          </cell>
          <cell r="Q64">
            <v>470660430</v>
          </cell>
        </row>
        <row r="65">
          <cell r="A65" t="str">
            <v>1670</v>
          </cell>
          <cell r="B65" t="str">
            <v xml:space="preserve">*특별손실*                    </v>
          </cell>
          <cell r="C65">
            <v>238283</v>
          </cell>
          <cell r="D65">
            <v>238283</v>
          </cell>
          <cell r="F65">
            <v>238283</v>
          </cell>
          <cell r="M65">
            <v>0</v>
          </cell>
        </row>
        <row r="66">
          <cell r="A66" t="str">
            <v>1680</v>
          </cell>
          <cell r="B66" t="str">
            <v xml:space="preserve">고정자산처분손실              </v>
          </cell>
          <cell r="C66">
            <v>238283</v>
          </cell>
          <cell r="D66">
            <v>238283</v>
          </cell>
          <cell r="F66">
            <v>238283</v>
          </cell>
          <cell r="M66">
            <v>0</v>
          </cell>
        </row>
        <row r="67">
          <cell r="A67" t="str">
            <v>1710</v>
          </cell>
          <cell r="B67" t="str">
            <v xml:space="preserve">**공제전이익**                </v>
          </cell>
          <cell r="C67">
            <v>-4377389267</v>
          </cell>
          <cell r="D67">
            <v>1642356036</v>
          </cell>
          <cell r="E67">
            <v>34995100</v>
          </cell>
          <cell r="F67">
            <v>1677351136</v>
          </cell>
          <cell r="G67">
            <v>3695148119</v>
          </cell>
          <cell r="H67">
            <v>-717082683</v>
          </cell>
          <cell r="I67">
            <v>-1835109543</v>
          </cell>
          <cell r="J67">
            <v>-2436610000</v>
          </cell>
          <cell r="K67">
            <v>-2061124996</v>
          </cell>
          <cell r="L67">
            <v>-3094830282</v>
          </cell>
          <cell r="M67">
            <v>-7592565278</v>
          </cell>
          <cell r="N67">
            <v>-48937693</v>
          </cell>
          <cell r="O67">
            <v>-17507087</v>
          </cell>
          <cell r="P67">
            <v>-9346668</v>
          </cell>
          <cell r="Q67">
            <v>470660430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량투입계획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차배정"/>
      <sheetName val="2차배정"/>
      <sheetName val="3차배정"/>
      <sheetName val="1차팩스"/>
      <sheetName val="2차팩스"/>
      <sheetName val="1~3팩스"/>
      <sheetName val="3차팩스"/>
      <sheetName val="신장률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Ⅱ-3매출 (3)"/>
      <sheetName val="Ⅱ-3매출 (2)"/>
      <sheetName val="보고용"/>
      <sheetName val="김부영"/>
      <sheetName val="최종본"/>
      <sheetName val="정 (3)"/>
      <sheetName val="정 (2)"/>
      <sheetName val="원본"/>
      <sheetName val="01매출"/>
      <sheetName val="00매출"/>
      <sheetName val="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3">
            <v>2930541</v>
          </cell>
          <cell r="B3" t="str">
            <v>이관</v>
          </cell>
          <cell r="C3" t="str">
            <v>가양점</v>
          </cell>
          <cell r="D3">
            <v>76552570</v>
          </cell>
          <cell r="E3">
            <v>44630814</v>
          </cell>
          <cell r="F3">
            <v>31246192</v>
          </cell>
          <cell r="G3">
            <v>38762884.066666663</v>
          </cell>
        </row>
        <row r="4">
          <cell r="A4">
            <v>2930556</v>
          </cell>
          <cell r="B4" t="str">
            <v>T/C,직납</v>
          </cell>
          <cell r="C4" t="str">
            <v>가양점</v>
          </cell>
          <cell r="D4">
            <v>4272820</v>
          </cell>
          <cell r="E4">
            <v>6254535</v>
          </cell>
          <cell r="F4">
            <v>46036946</v>
          </cell>
          <cell r="G4">
            <v>7926268.6299999999</v>
          </cell>
        </row>
        <row r="5">
          <cell r="A5">
            <v>1918892</v>
          </cell>
          <cell r="B5" t="str">
            <v>이관</v>
          </cell>
          <cell r="C5" t="str">
            <v>구로점</v>
          </cell>
          <cell r="D5">
            <v>67984950</v>
          </cell>
          <cell r="E5">
            <v>40383560</v>
          </cell>
          <cell r="F5">
            <v>25083308</v>
          </cell>
          <cell r="G5">
            <v>37472397.454545453</v>
          </cell>
        </row>
        <row r="6">
          <cell r="A6">
            <v>1918904</v>
          </cell>
          <cell r="B6" t="str">
            <v>T/C,직납</v>
          </cell>
          <cell r="C6" t="str">
            <v>구로점</v>
          </cell>
          <cell r="D6">
            <v>6554100</v>
          </cell>
          <cell r="E6">
            <v>9192115</v>
          </cell>
          <cell r="F6">
            <v>42882497</v>
          </cell>
          <cell r="G6">
            <v>7291532.1818181807</v>
          </cell>
        </row>
        <row r="7">
          <cell r="A7">
            <v>4008985</v>
          </cell>
          <cell r="B7" t="str">
            <v>이관</v>
          </cell>
          <cell r="C7" t="str">
            <v>김천점</v>
          </cell>
          <cell r="D7">
            <v>25153350</v>
          </cell>
          <cell r="E7">
            <v>17876914</v>
          </cell>
          <cell r="F7">
            <v>9668770</v>
          </cell>
          <cell r="G7">
            <v>15832172.999999998</v>
          </cell>
        </row>
        <row r="8">
          <cell r="A8">
            <v>4009822</v>
          </cell>
          <cell r="B8" t="str">
            <v>T/C,직납</v>
          </cell>
          <cell r="C8" t="str">
            <v>김천점</v>
          </cell>
          <cell r="D8">
            <v>3882560</v>
          </cell>
          <cell r="E8">
            <v>1498495</v>
          </cell>
          <cell r="F8">
            <v>18151305</v>
          </cell>
          <cell r="G8">
            <v>2608603.4545454546</v>
          </cell>
        </row>
        <row r="9">
          <cell r="A9">
            <v>3405632</v>
          </cell>
          <cell r="B9" t="str">
            <v>이관</v>
          </cell>
          <cell r="C9" t="str">
            <v>남원점</v>
          </cell>
          <cell r="D9">
            <v>23124540</v>
          </cell>
          <cell r="E9">
            <v>14135250</v>
          </cell>
          <cell r="F9">
            <v>3970748</v>
          </cell>
          <cell r="G9">
            <v>11778842.981818182</v>
          </cell>
        </row>
        <row r="10">
          <cell r="A10">
            <v>3409027</v>
          </cell>
          <cell r="B10" t="str">
            <v>T/C,직납</v>
          </cell>
          <cell r="C10" t="str">
            <v>남원점</v>
          </cell>
          <cell r="D10">
            <v>1372170</v>
          </cell>
          <cell r="E10">
            <v>1420490</v>
          </cell>
          <cell r="F10">
            <v>16812044</v>
          </cell>
          <cell r="G10">
            <v>1741095.6181818182</v>
          </cell>
        </row>
        <row r="11">
          <cell r="A11">
            <v>3514803</v>
          </cell>
          <cell r="B11" t="str">
            <v>이관</v>
          </cell>
          <cell r="C11" t="str">
            <v>동광주점</v>
          </cell>
          <cell r="D11">
            <v>35783940</v>
          </cell>
          <cell r="E11">
            <v>22927198</v>
          </cell>
          <cell r="F11">
            <v>12062382</v>
          </cell>
          <cell r="G11">
            <v>19422747.018181816</v>
          </cell>
        </row>
        <row r="12">
          <cell r="A12">
            <v>3515030</v>
          </cell>
          <cell r="B12" t="str">
            <v>T/C,직납</v>
          </cell>
          <cell r="C12" t="str">
            <v>동광주점</v>
          </cell>
          <cell r="D12">
            <v>3335030</v>
          </cell>
          <cell r="E12">
            <v>2336295</v>
          </cell>
          <cell r="F12">
            <v>21740727</v>
          </cell>
          <cell r="G12">
            <v>3358226.4545454541</v>
          </cell>
        </row>
        <row r="13">
          <cell r="A13">
            <v>3618200</v>
          </cell>
          <cell r="B13" t="str">
            <v>이관</v>
          </cell>
          <cell r="C13" t="str">
            <v>마산(E)</v>
          </cell>
          <cell r="D13">
            <v>15526160</v>
          </cell>
          <cell r="E13">
            <v>15937846</v>
          </cell>
          <cell r="F13">
            <v>3259838</v>
          </cell>
          <cell r="G13">
            <v>7757587.9499999993</v>
          </cell>
        </row>
        <row r="14">
          <cell r="A14">
            <v>3618215</v>
          </cell>
          <cell r="B14" t="str">
            <v>T/C,직납</v>
          </cell>
          <cell r="C14" t="str">
            <v>마산(E)</v>
          </cell>
          <cell r="D14">
            <v>3620520</v>
          </cell>
          <cell r="E14">
            <v>3287560</v>
          </cell>
          <cell r="F14">
            <v>7718301</v>
          </cell>
          <cell r="G14">
            <v>5891749.6749999998</v>
          </cell>
        </row>
        <row r="15">
          <cell r="A15">
            <v>2930120</v>
          </cell>
          <cell r="B15" t="str">
            <v>이관</v>
          </cell>
          <cell r="C15" t="str">
            <v>부천역사</v>
          </cell>
          <cell r="D15">
            <v>61916990</v>
          </cell>
          <cell r="E15">
            <v>40180722</v>
          </cell>
          <cell r="F15">
            <v>23249392</v>
          </cell>
          <cell r="G15">
            <v>38144236.454545453</v>
          </cell>
        </row>
        <row r="16">
          <cell r="A16">
            <v>2930135</v>
          </cell>
          <cell r="B16" t="str">
            <v>T/C,직납</v>
          </cell>
          <cell r="C16" t="str">
            <v>부천역사</v>
          </cell>
          <cell r="D16">
            <v>10105960</v>
          </cell>
          <cell r="E16">
            <v>5949992</v>
          </cell>
          <cell r="F16">
            <v>43875420</v>
          </cell>
          <cell r="G16">
            <v>9064075.2363636345</v>
          </cell>
        </row>
        <row r="17">
          <cell r="A17">
            <v>1339086</v>
          </cell>
          <cell r="B17" t="str">
            <v>이관</v>
          </cell>
          <cell r="C17" t="str">
            <v>부평점</v>
          </cell>
          <cell r="D17">
            <v>58739340</v>
          </cell>
          <cell r="E17">
            <v>38688476</v>
          </cell>
          <cell r="F17">
            <v>27990250</v>
          </cell>
          <cell r="G17">
            <v>34155866.054545455</v>
          </cell>
        </row>
        <row r="18">
          <cell r="A18">
            <v>2921592</v>
          </cell>
          <cell r="B18" t="str">
            <v>T/C,직납</v>
          </cell>
          <cell r="C18" t="str">
            <v>부평점</v>
          </cell>
          <cell r="D18">
            <v>8226059.9999999991</v>
          </cell>
          <cell r="E18">
            <v>8505640</v>
          </cell>
          <cell r="F18">
            <v>43626733</v>
          </cell>
          <cell r="G18">
            <v>7314644.7181818178</v>
          </cell>
        </row>
        <row r="19">
          <cell r="A19">
            <v>1507780</v>
          </cell>
          <cell r="B19" t="str">
            <v>이관</v>
          </cell>
          <cell r="C19" t="str">
            <v>분당점</v>
          </cell>
          <cell r="D19">
            <v>57749890</v>
          </cell>
          <cell r="E19">
            <v>40104584</v>
          </cell>
          <cell r="F19">
            <v>23244384</v>
          </cell>
          <cell r="G19">
            <v>42330285.07272727</v>
          </cell>
        </row>
        <row r="20">
          <cell r="A20">
            <v>1329858</v>
          </cell>
          <cell r="B20" t="str">
            <v>T/C,직납</v>
          </cell>
          <cell r="C20" t="str">
            <v>분당점</v>
          </cell>
          <cell r="D20">
            <v>5710690</v>
          </cell>
          <cell r="E20">
            <v>4156210</v>
          </cell>
          <cell r="F20">
            <v>45298038</v>
          </cell>
          <cell r="G20">
            <v>6229065.7545454539</v>
          </cell>
        </row>
        <row r="21">
          <cell r="A21">
            <v>3012880</v>
          </cell>
          <cell r="B21" t="str">
            <v>이관</v>
          </cell>
          <cell r="C21" t="str">
            <v>산본점</v>
          </cell>
          <cell r="D21">
            <v>55105530</v>
          </cell>
          <cell r="E21">
            <v>40764030</v>
          </cell>
          <cell r="F21">
            <v>26074308</v>
          </cell>
          <cell r="G21">
            <v>37124215.545454539</v>
          </cell>
        </row>
        <row r="22">
          <cell r="A22">
            <v>3012895</v>
          </cell>
          <cell r="B22" t="str">
            <v>T/C,직납</v>
          </cell>
          <cell r="C22" t="str">
            <v>산본점</v>
          </cell>
          <cell r="D22">
            <v>10081530</v>
          </cell>
          <cell r="E22">
            <v>5938206</v>
          </cell>
          <cell r="F22">
            <v>42863177</v>
          </cell>
          <cell r="G22">
            <v>6909403.0090909079</v>
          </cell>
        </row>
        <row r="23">
          <cell r="A23">
            <v>1818000</v>
          </cell>
          <cell r="B23" t="str">
            <v>이관</v>
          </cell>
          <cell r="C23" t="str">
            <v>상봉점</v>
          </cell>
          <cell r="D23">
            <v>52689230</v>
          </cell>
          <cell r="E23">
            <v>37509554</v>
          </cell>
          <cell r="F23">
            <v>26652782</v>
          </cell>
          <cell r="G23">
            <v>31606131.666666664</v>
          </cell>
        </row>
        <row r="24">
          <cell r="A24">
            <v>1818015</v>
          </cell>
          <cell r="B24" t="str">
            <v>T/C,직납</v>
          </cell>
          <cell r="C24" t="str">
            <v>상봉점</v>
          </cell>
          <cell r="D24">
            <v>7950130</v>
          </cell>
          <cell r="E24">
            <v>7960010</v>
          </cell>
          <cell r="F24">
            <v>37747349</v>
          </cell>
          <cell r="G24">
            <v>9817084</v>
          </cell>
        </row>
        <row r="25">
          <cell r="A25">
            <v>4508031</v>
          </cell>
          <cell r="B25" t="str">
            <v>이관</v>
          </cell>
          <cell r="C25" t="str">
            <v>서부산점</v>
          </cell>
          <cell r="D25">
            <v>76254720</v>
          </cell>
          <cell r="E25">
            <v>48317614</v>
          </cell>
          <cell r="F25">
            <v>24237816</v>
          </cell>
          <cell r="G25">
            <v>43579765.599999994</v>
          </cell>
        </row>
        <row r="26">
          <cell r="A26">
            <v>4510699</v>
          </cell>
          <cell r="B26" t="str">
            <v>T/C,직납</v>
          </cell>
          <cell r="C26" t="str">
            <v>서부산점</v>
          </cell>
          <cell r="D26">
            <v>11256810</v>
          </cell>
          <cell r="E26">
            <v>7304210</v>
          </cell>
          <cell r="F26">
            <v>43805522</v>
          </cell>
          <cell r="G26">
            <v>6969715.836363635</v>
          </cell>
        </row>
        <row r="27">
          <cell r="A27">
            <v>4015244</v>
          </cell>
          <cell r="B27" t="str">
            <v>이관</v>
          </cell>
          <cell r="C27" t="str">
            <v>성서점</v>
          </cell>
          <cell r="D27">
            <v>60311050</v>
          </cell>
          <cell r="E27">
            <v>40433086</v>
          </cell>
          <cell r="F27">
            <v>21520822</v>
          </cell>
          <cell r="G27">
            <v>32924255.127272725</v>
          </cell>
        </row>
        <row r="28">
          <cell r="A28">
            <v>4015333</v>
          </cell>
          <cell r="B28" t="str">
            <v>T/C,직납</v>
          </cell>
          <cell r="C28" t="str">
            <v>성서점</v>
          </cell>
          <cell r="D28">
            <v>12884650</v>
          </cell>
          <cell r="E28">
            <v>8320245.0000000009</v>
          </cell>
          <cell r="F28">
            <v>43330541</v>
          </cell>
          <cell r="G28">
            <v>8790712.6999999993</v>
          </cell>
        </row>
        <row r="29">
          <cell r="A29">
            <v>3013186</v>
          </cell>
          <cell r="B29" t="str">
            <v>이관</v>
          </cell>
          <cell r="C29" t="str">
            <v>시화점</v>
          </cell>
          <cell r="D29">
            <v>22988930</v>
          </cell>
          <cell r="E29">
            <v>18626226</v>
          </cell>
          <cell r="F29">
            <v>11632288</v>
          </cell>
          <cell r="G29">
            <v>16553381.6</v>
          </cell>
        </row>
        <row r="30">
          <cell r="A30">
            <v>3013191</v>
          </cell>
          <cell r="B30" t="str">
            <v>T/C,직납</v>
          </cell>
          <cell r="C30" t="str">
            <v>시화점</v>
          </cell>
          <cell r="D30">
            <v>3132680</v>
          </cell>
          <cell r="E30">
            <v>2830860</v>
          </cell>
          <cell r="F30">
            <v>21548350</v>
          </cell>
          <cell r="G30">
            <v>4373217.45</v>
          </cell>
        </row>
        <row r="31">
          <cell r="A31">
            <v>2930364</v>
          </cell>
          <cell r="B31" t="str">
            <v>이관</v>
          </cell>
          <cell r="C31" t="str">
            <v>신월(E)</v>
          </cell>
          <cell r="D31">
            <v>14155820</v>
          </cell>
          <cell r="E31">
            <v>9750114</v>
          </cell>
          <cell r="F31">
            <v>7037466</v>
          </cell>
          <cell r="G31">
            <v>9652358.163636364</v>
          </cell>
        </row>
        <row r="32">
          <cell r="A32">
            <v>2930379</v>
          </cell>
          <cell r="B32" t="str">
            <v>T/C,직납</v>
          </cell>
          <cell r="C32" t="str">
            <v>신월(E)</v>
          </cell>
          <cell r="D32">
            <v>1086110</v>
          </cell>
          <cell r="E32">
            <v>1587890</v>
          </cell>
          <cell r="F32">
            <v>9842804</v>
          </cell>
          <cell r="G32">
            <v>2065007.8909090909</v>
          </cell>
        </row>
        <row r="33">
          <cell r="A33">
            <v>1338972</v>
          </cell>
          <cell r="B33" t="str">
            <v>이관</v>
          </cell>
          <cell r="C33" t="str">
            <v>안산점</v>
          </cell>
          <cell r="D33">
            <v>34321080</v>
          </cell>
          <cell r="E33">
            <v>24920858</v>
          </cell>
          <cell r="F33">
            <v>16503849.999999998</v>
          </cell>
          <cell r="G33">
            <v>25472589.927272726</v>
          </cell>
        </row>
        <row r="34">
          <cell r="A34">
            <v>3012156</v>
          </cell>
          <cell r="B34" t="str">
            <v>T/C,직납</v>
          </cell>
          <cell r="C34" t="str">
            <v>안산점</v>
          </cell>
          <cell r="D34">
            <v>5191500</v>
          </cell>
          <cell r="E34">
            <v>3338250</v>
          </cell>
          <cell r="F34">
            <v>25266064</v>
          </cell>
          <cell r="G34">
            <v>3941897.4</v>
          </cell>
        </row>
        <row r="35">
          <cell r="A35">
            <v>3007922</v>
          </cell>
          <cell r="B35" t="str">
            <v>이관</v>
          </cell>
          <cell r="C35" t="str">
            <v>안양점</v>
          </cell>
          <cell r="D35">
            <v>60297690</v>
          </cell>
          <cell r="E35">
            <v>43041012</v>
          </cell>
          <cell r="F35">
            <v>30088986</v>
          </cell>
          <cell r="G35">
            <v>39513183.309090905</v>
          </cell>
        </row>
        <row r="36">
          <cell r="A36">
            <v>3012160</v>
          </cell>
          <cell r="B36" t="str">
            <v>T/C,직납</v>
          </cell>
          <cell r="C36" t="str">
            <v>안양점</v>
          </cell>
          <cell r="D36">
            <v>6479920</v>
          </cell>
          <cell r="E36">
            <v>6238540</v>
          </cell>
          <cell r="F36">
            <v>43797769</v>
          </cell>
          <cell r="G36">
            <v>6679809.1181818182</v>
          </cell>
        </row>
        <row r="37">
          <cell r="A37">
            <v>3807985</v>
          </cell>
          <cell r="B37" t="str">
            <v>이관</v>
          </cell>
          <cell r="C37" t="str">
            <v>원주점</v>
          </cell>
          <cell r="D37">
            <v>43646800</v>
          </cell>
          <cell r="E37">
            <v>29172780</v>
          </cell>
          <cell r="F37">
            <v>22176546</v>
          </cell>
          <cell r="G37">
            <v>25881917.472727273</v>
          </cell>
        </row>
        <row r="38">
          <cell r="A38">
            <v>3808009</v>
          </cell>
          <cell r="B38" t="str">
            <v>T/C,직납</v>
          </cell>
          <cell r="C38" t="str">
            <v>원주점</v>
          </cell>
          <cell r="D38">
            <v>4446880</v>
          </cell>
          <cell r="E38">
            <v>1896800</v>
          </cell>
          <cell r="F38">
            <v>28137127</v>
          </cell>
          <cell r="G38">
            <v>4497124.0999999996</v>
          </cell>
        </row>
        <row r="39">
          <cell r="A39">
            <v>3013241</v>
          </cell>
          <cell r="B39" t="str">
            <v>이관</v>
          </cell>
          <cell r="C39" t="str">
            <v>이천점</v>
          </cell>
          <cell r="D39">
            <v>25132640</v>
          </cell>
          <cell r="E39">
            <v>14696094</v>
          </cell>
          <cell r="F39">
            <v>12312506</v>
          </cell>
          <cell r="G39">
            <v>16933753.479999997</v>
          </cell>
        </row>
        <row r="40">
          <cell r="A40">
            <v>3013256</v>
          </cell>
          <cell r="B40" t="str">
            <v>T/C,직납</v>
          </cell>
          <cell r="C40" t="str">
            <v>이천점</v>
          </cell>
          <cell r="D40">
            <v>2595830</v>
          </cell>
          <cell r="E40">
            <v>1799870</v>
          </cell>
          <cell r="F40">
            <v>19025561</v>
          </cell>
          <cell r="G40">
            <v>5238943.3833333328</v>
          </cell>
        </row>
        <row r="41">
          <cell r="A41">
            <v>2921190</v>
          </cell>
          <cell r="B41" t="str">
            <v>이관</v>
          </cell>
          <cell r="C41" t="str">
            <v>인천점</v>
          </cell>
          <cell r="D41">
            <v>74610290</v>
          </cell>
          <cell r="E41">
            <v>56117636</v>
          </cell>
          <cell r="F41">
            <v>36646530</v>
          </cell>
          <cell r="G41">
            <v>46753379.399999999</v>
          </cell>
        </row>
        <row r="42">
          <cell r="A42">
            <v>2921604</v>
          </cell>
          <cell r="B42" t="str">
            <v>T/C,직납</v>
          </cell>
          <cell r="C42" t="str">
            <v>인천점</v>
          </cell>
          <cell r="D42">
            <v>15600290</v>
          </cell>
          <cell r="E42">
            <v>7614935</v>
          </cell>
          <cell r="F42">
            <v>50505762</v>
          </cell>
          <cell r="G42">
            <v>8292470.9636363639</v>
          </cell>
        </row>
        <row r="43">
          <cell r="A43">
            <v>1338551</v>
          </cell>
          <cell r="B43" t="str">
            <v>이관</v>
          </cell>
          <cell r="C43" t="str">
            <v>일산점</v>
          </cell>
          <cell r="D43">
            <v>66390229.999999993</v>
          </cell>
          <cell r="E43">
            <v>42343736</v>
          </cell>
          <cell r="F43">
            <v>24658760</v>
          </cell>
          <cell r="G43">
            <v>40232625.618181817</v>
          </cell>
        </row>
        <row r="44">
          <cell r="A44">
            <v>1329843</v>
          </cell>
          <cell r="B44" t="str">
            <v>T/C,직납</v>
          </cell>
          <cell r="C44" t="str">
            <v>일산점</v>
          </cell>
          <cell r="D44">
            <v>5811960</v>
          </cell>
          <cell r="E44">
            <v>4604870</v>
          </cell>
          <cell r="F44">
            <v>42188841</v>
          </cell>
          <cell r="G44">
            <v>6652872.163636364</v>
          </cell>
        </row>
        <row r="45">
          <cell r="A45">
            <v>3409046</v>
          </cell>
          <cell r="B45" t="str">
            <v>이관</v>
          </cell>
          <cell r="C45" t="str">
            <v>전주점</v>
          </cell>
          <cell r="D45">
            <v>83674500</v>
          </cell>
          <cell r="E45">
            <v>46114476</v>
          </cell>
          <cell r="F45">
            <v>21697780</v>
          </cell>
          <cell r="G45">
            <v>38893969.799999997</v>
          </cell>
        </row>
        <row r="46">
          <cell r="A46">
            <v>3409065</v>
          </cell>
          <cell r="B46" t="str">
            <v>T/C,직납</v>
          </cell>
          <cell r="C46" t="str">
            <v>전주점</v>
          </cell>
          <cell r="D46">
            <v>7868820</v>
          </cell>
          <cell r="E46">
            <v>5096865</v>
          </cell>
          <cell r="F46">
            <v>37571311</v>
          </cell>
          <cell r="G46">
            <v>7505830.7545454539</v>
          </cell>
        </row>
        <row r="47">
          <cell r="A47">
            <v>4103286</v>
          </cell>
          <cell r="B47" t="str">
            <v>이관</v>
          </cell>
          <cell r="C47" t="str">
            <v>제주점</v>
          </cell>
          <cell r="D47">
            <v>49109540</v>
          </cell>
          <cell r="E47">
            <v>41788728</v>
          </cell>
          <cell r="F47">
            <v>23399318</v>
          </cell>
          <cell r="G47">
            <v>31170129.327272724</v>
          </cell>
        </row>
        <row r="48">
          <cell r="A48">
            <v>4104353</v>
          </cell>
          <cell r="B48" t="str">
            <v>T/C,직납</v>
          </cell>
          <cell r="C48" t="str">
            <v>제주점</v>
          </cell>
          <cell r="D48">
            <v>10817260</v>
          </cell>
          <cell r="E48">
            <v>4795881</v>
          </cell>
          <cell r="F48">
            <v>40958305</v>
          </cell>
          <cell r="G48">
            <v>7169576.9727272727</v>
          </cell>
        </row>
        <row r="49">
          <cell r="A49">
            <v>4407369</v>
          </cell>
          <cell r="B49" t="str">
            <v>이관</v>
          </cell>
          <cell r="C49" t="str">
            <v>진주점</v>
          </cell>
          <cell r="D49">
            <v>24093280</v>
          </cell>
          <cell r="E49">
            <v>15965314</v>
          </cell>
          <cell r="F49">
            <v>7045082</v>
          </cell>
          <cell r="G49">
            <v>10990857.733333332</v>
          </cell>
        </row>
        <row r="50">
          <cell r="A50">
            <v>4407374</v>
          </cell>
          <cell r="B50" t="str">
            <v>T/C,직납</v>
          </cell>
          <cell r="C50" t="str">
            <v>진주점</v>
          </cell>
          <cell r="D50">
            <v>7457380</v>
          </cell>
          <cell r="E50">
            <v>3109135</v>
          </cell>
          <cell r="F50">
            <v>16524793.000000002</v>
          </cell>
          <cell r="G50">
            <v>7394898.6999999993</v>
          </cell>
        </row>
        <row r="51">
          <cell r="A51">
            <v>1326455</v>
          </cell>
          <cell r="B51" t="str">
            <v>이관</v>
          </cell>
          <cell r="C51" t="str">
            <v>창동점</v>
          </cell>
          <cell r="D51">
            <v>61578680</v>
          </cell>
          <cell r="E51">
            <v>37437364</v>
          </cell>
          <cell r="F51">
            <v>25288484</v>
          </cell>
          <cell r="G51">
            <v>36289518.745454542</v>
          </cell>
        </row>
        <row r="52">
          <cell r="A52">
            <v>1329839</v>
          </cell>
          <cell r="B52" t="str">
            <v>T/C,직납</v>
          </cell>
          <cell r="C52" t="str">
            <v>창동점</v>
          </cell>
          <cell r="D52">
            <v>5543770</v>
          </cell>
          <cell r="E52">
            <v>8196422.0000000009</v>
          </cell>
          <cell r="F52">
            <v>44935619</v>
          </cell>
          <cell r="G52">
            <v>8370317.3909090906</v>
          </cell>
        </row>
        <row r="53">
          <cell r="A53">
            <v>1508175</v>
          </cell>
          <cell r="B53" t="str">
            <v>이관</v>
          </cell>
          <cell r="C53" t="str">
            <v>천호점</v>
          </cell>
          <cell r="D53">
            <v>44174040</v>
          </cell>
          <cell r="E53">
            <v>31330884</v>
          </cell>
          <cell r="F53">
            <v>20437520</v>
          </cell>
          <cell r="G53">
            <v>26557317.690909091</v>
          </cell>
        </row>
        <row r="54">
          <cell r="A54">
            <v>1508194</v>
          </cell>
          <cell r="B54" t="str">
            <v>T/C,직납</v>
          </cell>
          <cell r="C54" t="str">
            <v>천호점</v>
          </cell>
          <cell r="D54">
            <v>5202400</v>
          </cell>
          <cell r="E54">
            <v>4706100</v>
          </cell>
          <cell r="F54">
            <v>33057441</v>
          </cell>
          <cell r="G54">
            <v>5476105.5363636361</v>
          </cell>
        </row>
        <row r="55">
          <cell r="A55">
            <v>4603650</v>
          </cell>
          <cell r="B55" t="str">
            <v>이관</v>
          </cell>
          <cell r="C55" t="str">
            <v>청주점</v>
          </cell>
          <cell r="D55">
            <v>38987600</v>
          </cell>
          <cell r="E55">
            <v>27563126</v>
          </cell>
          <cell r="F55">
            <v>17889246</v>
          </cell>
          <cell r="G55">
            <v>24559672.963636365</v>
          </cell>
        </row>
        <row r="56">
          <cell r="A56">
            <v>4603786</v>
          </cell>
          <cell r="B56" t="str">
            <v>T/C,직납</v>
          </cell>
          <cell r="C56" t="str">
            <v>청주점</v>
          </cell>
          <cell r="D56">
            <v>3065540</v>
          </cell>
          <cell r="E56">
            <v>3121510</v>
          </cell>
          <cell r="F56">
            <v>26083094</v>
          </cell>
          <cell r="G56">
            <v>3884397.1090909089</v>
          </cell>
        </row>
        <row r="57">
          <cell r="A57">
            <v>4513685</v>
          </cell>
          <cell r="B57" t="str">
            <v>이관</v>
          </cell>
          <cell r="C57" t="str">
            <v>해운대점</v>
          </cell>
          <cell r="D57">
            <v>44888140</v>
          </cell>
          <cell r="E57">
            <v>30867074</v>
          </cell>
          <cell r="F57">
            <v>21743284</v>
          </cell>
          <cell r="G57">
            <v>25854600.099999998</v>
          </cell>
        </row>
        <row r="58">
          <cell r="A58">
            <v>4513690</v>
          </cell>
          <cell r="B58" t="str">
            <v>T/C,직납</v>
          </cell>
          <cell r="C58" t="str">
            <v>해운대점</v>
          </cell>
          <cell r="D58">
            <v>9462990</v>
          </cell>
          <cell r="E58">
            <v>5385000</v>
          </cell>
          <cell r="F58">
            <v>29736042</v>
          </cell>
          <cell r="G58">
            <v>7128897.0666666655</v>
          </cell>
        </row>
        <row r="59">
          <cell r="A59">
            <v>1326754</v>
          </cell>
          <cell r="B59" t="str">
            <v>D/C</v>
          </cell>
          <cell r="C59" t="str">
            <v>용인센타</v>
          </cell>
          <cell r="D59">
            <v>-639779880</v>
          </cell>
          <cell r="E59">
            <v>-213460587</v>
          </cell>
          <cell r="F59">
            <v>-358063941</v>
          </cell>
          <cell r="G59">
            <v>0</v>
          </cell>
        </row>
        <row r="60">
          <cell r="A60">
            <v>1329810</v>
          </cell>
          <cell r="B60" t="str">
            <v>D/C</v>
          </cell>
          <cell r="C60" t="str">
            <v>대구센타</v>
          </cell>
          <cell r="D60">
            <v>288136360</v>
          </cell>
          <cell r="E60">
            <v>234248867</v>
          </cell>
          <cell r="F60">
            <v>68801520</v>
          </cell>
          <cell r="G60">
            <v>0</v>
          </cell>
        </row>
      </sheetData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30(土)"/>
    </sheetNames>
    <sheetDataSet>
      <sheetData sheetId="0">
        <row r="4">
          <cell r="A4" t="str">
            <v>전관행사</v>
          </cell>
          <cell r="B4" t="str">
            <v>여름 패션 트랜드 연출</v>
          </cell>
          <cell r="F4" t="str">
            <v>사회적 이슈 및 절기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7"/>
  <sheetViews>
    <sheetView zoomScale="80" zoomScaleNormal="80" workbookViewId="0">
      <selection activeCell="B58" sqref="B58"/>
    </sheetView>
  </sheetViews>
  <sheetFormatPr defaultRowHeight="16.5"/>
  <cols>
    <col min="1" max="1" width="5.75" style="34" customWidth="1"/>
    <col min="2" max="2" width="50.75" style="35" customWidth="1"/>
    <col min="3" max="3" width="20.75" style="49" customWidth="1"/>
    <col min="4" max="4" width="20.75" style="50" customWidth="1"/>
    <col min="5" max="6" width="15.75" style="36" customWidth="1"/>
    <col min="7" max="7" width="19.75" style="36" customWidth="1"/>
    <col min="8" max="8" width="109.375" style="37" bestFit="1" customWidth="1"/>
    <col min="9" max="9" width="9" style="14" customWidth="1"/>
    <col min="10" max="16384" width="9" style="14"/>
  </cols>
  <sheetData>
    <row r="1" spans="1:8" ht="43.5" customHeight="1">
      <c r="A1" s="58" t="s">
        <v>6</v>
      </c>
      <c r="B1" s="59"/>
      <c r="C1" s="60"/>
      <c r="D1" s="61"/>
      <c r="E1" s="62"/>
      <c r="F1" s="62"/>
      <c r="G1" s="62"/>
      <c r="H1" s="13"/>
    </row>
    <row r="2" spans="1:8" s="15" customFormat="1" ht="25.15" customHeight="1" thickBot="1">
      <c r="A2" s="69" t="s">
        <v>7</v>
      </c>
      <c r="B2" s="70"/>
      <c r="C2" s="70"/>
      <c r="D2" s="70"/>
      <c r="E2" s="70"/>
      <c r="F2" s="70"/>
      <c r="G2" s="70"/>
    </row>
    <row r="3" spans="1:8" s="15" customFormat="1" ht="25.15" customHeight="1">
      <c r="A3" s="65" t="s">
        <v>8</v>
      </c>
      <c r="B3" s="67" t="s">
        <v>9</v>
      </c>
      <c r="C3" s="63" t="s">
        <v>10</v>
      </c>
      <c r="D3" s="68" t="s">
        <v>11</v>
      </c>
      <c r="E3" s="67" t="s">
        <v>12</v>
      </c>
      <c r="F3" s="67" t="s">
        <v>13</v>
      </c>
      <c r="G3" s="67" t="s">
        <v>14</v>
      </c>
    </row>
    <row r="4" spans="1:8" s="15" customFormat="1" ht="25.15" customHeight="1">
      <c r="A4" s="66"/>
      <c r="B4" s="64"/>
      <c r="C4" s="64"/>
      <c r="D4" s="64"/>
      <c r="E4" s="64"/>
      <c r="F4" s="64"/>
      <c r="G4" s="64"/>
    </row>
    <row r="5" spans="1:8" s="15" customFormat="1" ht="25.15" customHeight="1">
      <c r="A5" s="16">
        <v>1</v>
      </c>
      <c r="B5" s="17" t="s">
        <v>15</v>
      </c>
      <c r="C5" s="51">
        <v>1700</v>
      </c>
      <c r="D5" s="51">
        <v>12000</v>
      </c>
      <c r="E5" s="18" t="s">
        <v>16</v>
      </c>
      <c r="F5" s="18" t="s">
        <v>17</v>
      </c>
      <c r="G5" s="18"/>
    </row>
    <row r="6" spans="1:8" s="15" customFormat="1" ht="25.15" customHeight="1">
      <c r="A6" s="16">
        <v>2</v>
      </c>
      <c r="B6" s="17" t="s">
        <v>18</v>
      </c>
      <c r="C6" s="51">
        <v>1700</v>
      </c>
      <c r="D6" s="51">
        <v>12000</v>
      </c>
      <c r="E6" s="18" t="s">
        <v>19</v>
      </c>
      <c r="F6" s="18" t="s">
        <v>17</v>
      </c>
      <c r="G6" s="18"/>
    </row>
    <row r="7" spans="1:8" s="15" customFormat="1" ht="25.15" customHeight="1">
      <c r="A7" s="16">
        <v>3</v>
      </c>
      <c r="B7" s="17" t="s">
        <v>20</v>
      </c>
      <c r="C7" s="51">
        <v>2500</v>
      </c>
      <c r="D7" s="51">
        <v>18000</v>
      </c>
      <c r="E7" s="18" t="s">
        <v>19</v>
      </c>
      <c r="F7" s="18" t="s">
        <v>21</v>
      </c>
      <c r="G7" s="18"/>
    </row>
    <row r="8" spans="1:8" s="15" customFormat="1" ht="25.15" customHeight="1">
      <c r="A8" s="16">
        <v>4</v>
      </c>
      <c r="B8" s="17" t="s">
        <v>22</v>
      </c>
      <c r="C8" s="51">
        <v>2200</v>
      </c>
      <c r="D8" s="51">
        <v>18000</v>
      </c>
      <c r="E8" s="18" t="s">
        <v>16</v>
      </c>
      <c r="F8" s="18" t="s">
        <v>21</v>
      </c>
      <c r="G8" s="18"/>
    </row>
    <row r="9" spans="1:8" s="15" customFormat="1" ht="25.15" customHeight="1">
      <c r="A9" s="16">
        <v>5</v>
      </c>
      <c r="B9" s="17" t="s">
        <v>23</v>
      </c>
      <c r="C9" s="51">
        <v>4100</v>
      </c>
      <c r="D9" s="51">
        <v>35000</v>
      </c>
      <c r="E9" s="18" t="s">
        <v>16</v>
      </c>
      <c r="F9" s="18" t="s">
        <v>24</v>
      </c>
      <c r="G9" s="18"/>
    </row>
    <row r="10" spans="1:8" s="15" customFormat="1" ht="25.15" customHeight="1">
      <c r="A10" s="16">
        <v>6</v>
      </c>
      <c r="B10" s="17" t="s">
        <v>25</v>
      </c>
      <c r="C10" s="51">
        <v>4100</v>
      </c>
      <c r="D10" s="51">
        <v>35000</v>
      </c>
      <c r="E10" s="18" t="s">
        <v>19</v>
      </c>
      <c r="F10" s="18" t="s">
        <v>24</v>
      </c>
      <c r="G10" s="18"/>
    </row>
    <row r="11" spans="1:8" s="15" customFormat="1" ht="25.15" customHeight="1">
      <c r="A11" s="16">
        <v>7</v>
      </c>
      <c r="B11" s="17" t="s">
        <v>26</v>
      </c>
      <c r="C11" s="51">
        <v>6100</v>
      </c>
      <c r="D11" s="51">
        <v>40000</v>
      </c>
      <c r="E11" s="18" t="s">
        <v>16</v>
      </c>
      <c r="F11" s="18" t="s">
        <v>17</v>
      </c>
      <c r="G11" s="18"/>
    </row>
    <row r="12" spans="1:8" s="15" customFormat="1" ht="25.15" customHeight="1">
      <c r="A12" s="16">
        <v>8</v>
      </c>
      <c r="B12" s="17" t="s">
        <v>27</v>
      </c>
      <c r="C12" s="51">
        <v>6100</v>
      </c>
      <c r="D12" s="51">
        <v>40000</v>
      </c>
      <c r="E12" s="18" t="s">
        <v>19</v>
      </c>
      <c r="F12" s="18" t="s">
        <v>17</v>
      </c>
      <c r="G12" s="18"/>
    </row>
    <row r="13" spans="1:8" s="15" customFormat="1" ht="25.15" customHeight="1">
      <c r="A13" s="16">
        <v>9</v>
      </c>
      <c r="B13" s="17" t="s">
        <v>28</v>
      </c>
      <c r="C13" s="51">
        <v>8600</v>
      </c>
      <c r="D13" s="51">
        <v>45000</v>
      </c>
      <c r="E13" s="18" t="s">
        <v>19</v>
      </c>
      <c r="F13" s="18" t="s">
        <v>21</v>
      </c>
      <c r="G13" s="18"/>
    </row>
    <row r="14" spans="1:8" s="15" customFormat="1" ht="25.15" customHeight="1">
      <c r="A14" s="16">
        <v>10</v>
      </c>
      <c r="B14" s="19" t="s">
        <v>29</v>
      </c>
      <c r="C14" s="51">
        <v>9700</v>
      </c>
      <c r="D14" s="51">
        <v>55000</v>
      </c>
      <c r="E14" s="20" t="s">
        <v>16</v>
      </c>
      <c r="F14" s="20" t="s">
        <v>21</v>
      </c>
      <c r="G14" s="20"/>
    </row>
    <row r="15" spans="1:8" s="15" customFormat="1" ht="25.15" customHeight="1">
      <c r="A15" s="16">
        <v>11</v>
      </c>
      <c r="B15" s="19" t="s">
        <v>30</v>
      </c>
      <c r="C15" s="51">
        <v>9100</v>
      </c>
      <c r="D15" s="51">
        <v>55000</v>
      </c>
      <c r="E15" s="20" t="s">
        <v>16</v>
      </c>
      <c r="F15" s="20" t="s">
        <v>31</v>
      </c>
      <c r="G15" s="20"/>
    </row>
    <row r="16" spans="1:8" s="15" customFormat="1" ht="25.15" customHeight="1">
      <c r="A16" s="16">
        <v>12</v>
      </c>
      <c r="B16" s="19" t="s">
        <v>32</v>
      </c>
      <c r="C16" s="51">
        <v>9100</v>
      </c>
      <c r="D16" s="51">
        <v>55000</v>
      </c>
      <c r="E16" s="20" t="s">
        <v>16</v>
      </c>
      <c r="F16" s="20" t="s">
        <v>31</v>
      </c>
      <c r="G16" s="20"/>
    </row>
    <row r="17" spans="1:7" s="15" customFormat="1" ht="25.15" customHeight="1">
      <c r="A17" s="16">
        <v>13</v>
      </c>
      <c r="B17" s="19" t="s">
        <v>33</v>
      </c>
      <c r="C17" s="51">
        <v>11000</v>
      </c>
      <c r="D17" s="51">
        <v>55000</v>
      </c>
      <c r="E17" s="20" t="s">
        <v>16</v>
      </c>
      <c r="F17" s="20" t="s">
        <v>17</v>
      </c>
      <c r="G17" s="20"/>
    </row>
    <row r="18" spans="1:7" s="15" customFormat="1" ht="25.15" customHeight="1">
      <c r="A18" s="16">
        <v>14</v>
      </c>
      <c r="B18" s="19" t="s">
        <v>34</v>
      </c>
      <c r="C18" s="51">
        <v>11600</v>
      </c>
      <c r="D18" s="51">
        <v>70000</v>
      </c>
      <c r="E18" s="20" t="s">
        <v>16</v>
      </c>
      <c r="F18" s="20" t="s">
        <v>31</v>
      </c>
      <c r="G18" s="20"/>
    </row>
    <row r="19" spans="1:7" s="15" customFormat="1" ht="25.15" customHeight="1">
      <c r="A19" s="16">
        <v>15</v>
      </c>
      <c r="B19" s="19" t="s">
        <v>35</v>
      </c>
      <c r="C19" s="51">
        <v>13200</v>
      </c>
      <c r="D19" s="51">
        <v>80000</v>
      </c>
      <c r="E19" s="20" t="s">
        <v>16</v>
      </c>
      <c r="F19" s="20" t="s">
        <v>31</v>
      </c>
      <c r="G19" s="20"/>
    </row>
    <row r="20" spans="1:7" s="15" customFormat="1" ht="25.15" customHeight="1">
      <c r="A20" s="16">
        <v>16</v>
      </c>
      <c r="B20" s="19" t="s">
        <v>36</v>
      </c>
      <c r="C20" s="51">
        <v>17100</v>
      </c>
      <c r="D20" s="51">
        <v>120000</v>
      </c>
      <c r="E20" s="20" t="s">
        <v>16</v>
      </c>
      <c r="F20" s="20" t="s">
        <v>17</v>
      </c>
      <c r="G20" s="20"/>
    </row>
    <row r="21" spans="1:7" s="15" customFormat="1" ht="25.15" customHeight="1">
      <c r="A21" s="16">
        <v>17</v>
      </c>
      <c r="B21" s="19" t="s">
        <v>37</v>
      </c>
      <c r="C21" s="51">
        <v>18200</v>
      </c>
      <c r="D21" s="51">
        <v>120000</v>
      </c>
      <c r="E21" s="20" t="s">
        <v>16</v>
      </c>
      <c r="F21" s="20" t="s">
        <v>21</v>
      </c>
      <c r="G21" s="20"/>
    </row>
    <row r="22" spans="1:7" s="15" customFormat="1" ht="25.15" customHeight="1">
      <c r="A22" s="16">
        <v>18</v>
      </c>
      <c r="B22" s="17" t="s">
        <v>38</v>
      </c>
      <c r="C22" s="51">
        <v>45400</v>
      </c>
      <c r="D22" s="51">
        <v>240000</v>
      </c>
      <c r="E22" s="18" t="s">
        <v>16</v>
      </c>
      <c r="F22" s="18" t="s">
        <v>21</v>
      </c>
      <c r="G22" s="18"/>
    </row>
    <row r="23" spans="1:7" s="15" customFormat="1" ht="25.15" customHeight="1">
      <c r="A23" s="16">
        <v>19</v>
      </c>
      <c r="B23" s="17" t="s">
        <v>39</v>
      </c>
      <c r="C23" s="51">
        <v>33000</v>
      </c>
      <c r="D23" s="51">
        <v>300000</v>
      </c>
      <c r="E23" s="18" t="s">
        <v>16</v>
      </c>
      <c r="F23" s="18" t="s">
        <v>21</v>
      </c>
      <c r="G23" s="18"/>
    </row>
    <row r="24" spans="1:7" s="15" customFormat="1" ht="25.15" customHeight="1">
      <c r="A24" s="16">
        <v>20</v>
      </c>
      <c r="B24" s="17" t="s">
        <v>40</v>
      </c>
      <c r="C24" s="51">
        <v>48400.000000000007</v>
      </c>
      <c r="D24" s="51">
        <v>240000</v>
      </c>
      <c r="E24" s="18" t="s">
        <v>16</v>
      </c>
      <c r="F24" s="18" t="s">
        <v>31</v>
      </c>
      <c r="G24" s="18"/>
    </row>
    <row r="25" spans="1:7" s="15" customFormat="1" ht="25.15" customHeight="1">
      <c r="A25" s="16">
        <v>21</v>
      </c>
      <c r="B25" s="17" t="s">
        <v>41</v>
      </c>
      <c r="C25" s="51">
        <v>121000</v>
      </c>
      <c r="D25" s="51">
        <v>500000</v>
      </c>
      <c r="E25" s="18" t="s">
        <v>16</v>
      </c>
      <c r="F25" s="18" t="s">
        <v>31</v>
      </c>
      <c r="G25" s="18"/>
    </row>
    <row r="26" spans="1:7" s="15" customFormat="1" ht="25.15" customHeight="1">
      <c r="A26" s="16">
        <v>22</v>
      </c>
      <c r="B26" s="17" t="s">
        <v>42</v>
      </c>
      <c r="C26" s="51">
        <v>11600</v>
      </c>
      <c r="D26" s="51">
        <v>65000</v>
      </c>
      <c r="E26" s="21" t="s">
        <v>43</v>
      </c>
      <c r="F26" s="18" t="s">
        <v>24</v>
      </c>
      <c r="G26" s="18"/>
    </row>
    <row r="27" spans="1:7" s="15" customFormat="1" ht="25.15" customHeight="1">
      <c r="A27" s="16">
        <v>23</v>
      </c>
      <c r="B27" s="17" t="s">
        <v>44</v>
      </c>
      <c r="C27" s="51">
        <v>11600</v>
      </c>
      <c r="D27" s="51">
        <v>65000</v>
      </c>
      <c r="E27" s="21" t="s">
        <v>45</v>
      </c>
      <c r="F27" s="18" t="s">
        <v>24</v>
      </c>
      <c r="G27" s="18"/>
    </row>
    <row r="28" spans="1:7" s="15" customFormat="1" ht="25.15" customHeight="1">
      <c r="A28" s="16">
        <v>24</v>
      </c>
      <c r="B28" s="17" t="s">
        <v>46</v>
      </c>
      <c r="C28" s="51">
        <v>11000</v>
      </c>
      <c r="D28" s="51">
        <v>65000</v>
      </c>
      <c r="E28" s="21" t="s">
        <v>43</v>
      </c>
      <c r="F28" s="18" t="s">
        <v>24</v>
      </c>
      <c r="G28" s="18"/>
    </row>
    <row r="29" spans="1:7" s="15" customFormat="1" ht="25.15" customHeight="1">
      <c r="A29" s="16">
        <v>25</v>
      </c>
      <c r="B29" s="19" t="s">
        <v>47</v>
      </c>
      <c r="C29" s="51">
        <v>6100</v>
      </c>
      <c r="D29" s="51">
        <v>40000</v>
      </c>
      <c r="E29" s="18" t="s">
        <v>16</v>
      </c>
      <c r="F29" s="18" t="s">
        <v>17</v>
      </c>
      <c r="G29" s="18"/>
    </row>
    <row r="30" spans="1:7" s="15" customFormat="1" ht="25.15" customHeight="1">
      <c r="A30" s="16">
        <v>26</v>
      </c>
      <c r="B30" s="19" t="s">
        <v>48</v>
      </c>
      <c r="C30" s="51">
        <v>6100</v>
      </c>
      <c r="D30" s="51">
        <v>40000</v>
      </c>
      <c r="E30" s="18" t="s">
        <v>16</v>
      </c>
      <c r="F30" s="18" t="s">
        <v>17</v>
      </c>
      <c r="G30" s="18"/>
    </row>
    <row r="31" spans="1:7" s="15" customFormat="1" ht="25.15" customHeight="1">
      <c r="A31" s="16">
        <v>27</v>
      </c>
      <c r="B31" s="19" t="s">
        <v>49</v>
      </c>
      <c r="C31" s="51">
        <v>6100</v>
      </c>
      <c r="D31" s="51">
        <v>40000</v>
      </c>
      <c r="E31" s="18" t="s">
        <v>16</v>
      </c>
      <c r="F31" s="18" t="s">
        <v>17</v>
      </c>
      <c r="G31" s="18"/>
    </row>
    <row r="32" spans="1:7" s="15" customFormat="1" ht="25.15" customHeight="1">
      <c r="A32" s="16">
        <v>28</v>
      </c>
      <c r="B32" s="19" t="s">
        <v>50</v>
      </c>
      <c r="C32" s="51">
        <v>6100</v>
      </c>
      <c r="D32" s="51">
        <v>40000</v>
      </c>
      <c r="E32" s="18" t="s">
        <v>16</v>
      </c>
      <c r="F32" s="18" t="s">
        <v>17</v>
      </c>
      <c r="G32" s="18"/>
    </row>
    <row r="33" spans="1:7" s="15" customFormat="1" ht="25.15" customHeight="1">
      <c r="A33" s="16">
        <v>29</v>
      </c>
      <c r="B33" s="19" t="s">
        <v>51</v>
      </c>
      <c r="C33" s="51">
        <v>6100</v>
      </c>
      <c r="D33" s="51">
        <v>40000</v>
      </c>
      <c r="E33" s="18" t="s">
        <v>19</v>
      </c>
      <c r="F33" s="18" t="s">
        <v>17</v>
      </c>
      <c r="G33" s="18"/>
    </row>
    <row r="34" spans="1:7" s="15" customFormat="1" ht="25.15" customHeight="1">
      <c r="A34" s="16">
        <v>30</v>
      </c>
      <c r="B34" s="19" t="s">
        <v>52</v>
      </c>
      <c r="C34" s="51">
        <v>7300</v>
      </c>
      <c r="D34" s="51">
        <v>45000</v>
      </c>
      <c r="E34" s="18" t="s">
        <v>16</v>
      </c>
      <c r="F34" s="18" t="s">
        <v>17</v>
      </c>
      <c r="G34" s="18"/>
    </row>
    <row r="35" spans="1:7" s="15" customFormat="1" ht="25.15" customHeight="1">
      <c r="A35" s="16">
        <v>31</v>
      </c>
      <c r="B35" s="19" t="s">
        <v>53</v>
      </c>
      <c r="C35" s="51">
        <v>7300</v>
      </c>
      <c r="D35" s="51">
        <v>45000</v>
      </c>
      <c r="E35" s="18" t="s">
        <v>16</v>
      </c>
      <c r="F35" s="18" t="s">
        <v>17</v>
      </c>
      <c r="G35" s="18"/>
    </row>
    <row r="36" spans="1:7" s="15" customFormat="1" ht="25.15" customHeight="1">
      <c r="A36" s="16">
        <v>32</v>
      </c>
      <c r="B36" s="19" t="s">
        <v>54</v>
      </c>
      <c r="C36" s="51">
        <v>7300</v>
      </c>
      <c r="D36" s="51">
        <v>45000</v>
      </c>
      <c r="E36" s="18" t="s">
        <v>19</v>
      </c>
      <c r="F36" s="18" t="s">
        <v>17</v>
      </c>
      <c r="G36" s="18"/>
    </row>
    <row r="37" spans="1:7" s="15" customFormat="1" ht="25.15" customHeight="1">
      <c r="A37" s="16">
        <v>33</v>
      </c>
      <c r="B37" s="19" t="s">
        <v>55</v>
      </c>
      <c r="C37" s="51">
        <v>8600</v>
      </c>
      <c r="D37" s="51">
        <v>50000</v>
      </c>
      <c r="E37" s="20" t="s">
        <v>16</v>
      </c>
      <c r="F37" s="20" t="s">
        <v>17</v>
      </c>
      <c r="G37" s="20"/>
    </row>
    <row r="38" spans="1:7" s="15" customFormat="1" ht="25.15" customHeight="1">
      <c r="A38" s="16">
        <v>34</v>
      </c>
      <c r="B38" s="19" t="s">
        <v>56</v>
      </c>
      <c r="C38" s="51">
        <v>8600</v>
      </c>
      <c r="D38" s="51">
        <v>50000</v>
      </c>
      <c r="E38" s="20" t="s">
        <v>16</v>
      </c>
      <c r="F38" s="20" t="s">
        <v>17</v>
      </c>
      <c r="G38" s="20"/>
    </row>
    <row r="39" spans="1:7" s="15" customFormat="1" ht="25.15" customHeight="1">
      <c r="A39" s="16">
        <v>35</v>
      </c>
      <c r="B39" s="19" t="s">
        <v>57</v>
      </c>
      <c r="C39" s="51">
        <v>8600</v>
      </c>
      <c r="D39" s="51">
        <v>50000</v>
      </c>
      <c r="E39" s="20" t="s">
        <v>19</v>
      </c>
      <c r="F39" s="20" t="s">
        <v>17</v>
      </c>
      <c r="G39" s="20"/>
    </row>
    <row r="40" spans="1:7" s="15" customFormat="1" ht="25.15" customHeight="1">
      <c r="A40" s="16">
        <v>36</v>
      </c>
      <c r="B40" s="19" t="s">
        <v>58</v>
      </c>
      <c r="C40" s="51">
        <v>11000</v>
      </c>
      <c r="D40" s="51">
        <v>65000</v>
      </c>
      <c r="E40" s="20" t="s">
        <v>16</v>
      </c>
      <c r="F40" s="20" t="s">
        <v>17</v>
      </c>
      <c r="G40" s="20"/>
    </row>
    <row r="41" spans="1:7" s="15" customFormat="1" ht="25.15" customHeight="1">
      <c r="A41" s="16">
        <v>37</v>
      </c>
      <c r="B41" s="19" t="s">
        <v>59</v>
      </c>
      <c r="C41" s="51">
        <v>11000</v>
      </c>
      <c r="D41" s="51">
        <v>65000</v>
      </c>
      <c r="E41" s="20" t="s">
        <v>16</v>
      </c>
      <c r="F41" s="20" t="s">
        <v>17</v>
      </c>
      <c r="G41" s="20"/>
    </row>
    <row r="42" spans="1:7" s="15" customFormat="1" ht="25.15" customHeight="1">
      <c r="A42" s="16">
        <v>38</v>
      </c>
      <c r="B42" s="19" t="s">
        <v>60</v>
      </c>
      <c r="C42" s="51">
        <v>11000</v>
      </c>
      <c r="D42" s="51">
        <v>65000</v>
      </c>
      <c r="E42" s="18" t="s">
        <v>16</v>
      </c>
      <c r="F42" s="18" t="s">
        <v>17</v>
      </c>
      <c r="G42" s="18"/>
    </row>
    <row r="43" spans="1:7" s="15" customFormat="1" ht="25.15" customHeight="1">
      <c r="A43" s="16">
        <v>39</v>
      </c>
      <c r="B43" s="19" t="s">
        <v>61</v>
      </c>
      <c r="C43" s="51">
        <v>13200</v>
      </c>
      <c r="D43" s="51">
        <v>80000</v>
      </c>
      <c r="E43" s="18" t="s">
        <v>16</v>
      </c>
      <c r="F43" s="18" t="s">
        <v>17</v>
      </c>
      <c r="G43" s="18"/>
    </row>
    <row r="44" spans="1:7" s="15" customFormat="1" ht="25.15" customHeight="1">
      <c r="A44" s="16">
        <v>40</v>
      </c>
      <c r="B44" s="19" t="s">
        <v>62</v>
      </c>
      <c r="C44" s="51">
        <v>13200</v>
      </c>
      <c r="D44" s="51">
        <v>80000</v>
      </c>
      <c r="E44" s="18" t="s">
        <v>16</v>
      </c>
      <c r="F44" s="18" t="s">
        <v>17</v>
      </c>
      <c r="G44" s="18"/>
    </row>
    <row r="45" spans="1:7" s="15" customFormat="1" ht="25.15" customHeight="1">
      <c r="A45" s="16">
        <v>41</v>
      </c>
      <c r="B45" s="19" t="s">
        <v>63</v>
      </c>
      <c r="C45" s="51">
        <v>13200</v>
      </c>
      <c r="D45" s="51">
        <v>80000</v>
      </c>
      <c r="E45" s="18" t="s">
        <v>16</v>
      </c>
      <c r="F45" s="18" t="s">
        <v>17</v>
      </c>
      <c r="G45" s="18"/>
    </row>
    <row r="46" spans="1:7" s="15" customFormat="1" ht="28.5" customHeight="1">
      <c r="A46" s="16">
        <v>42</v>
      </c>
      <c r="B46" s="19" t="s">
        <v>64</v>
      </c>
      <c r="C46" s="51">
        <v>17100</v>
      </c>
      <c r="D46" s="51">
        <v>120000</v>
      </c>
      <c r="E46" s="18" t="s">
        <v>16</v>
      </c>
      <c r="F46" s="18" t="s">
        <v>17</v>
      </c>
      <c r="G46" s="18"/>
    </row>
    <row r="47" spans="1:7" s="15" customFormat="1" ht="25.15" customHeight="1">
      <c r="A47" s="16">
        <v>43</v>
      </c>
      <c r="B47" s="19" t="s">
        <v>65</v>
      </c>
      <c r="C47" s="51">
        <v>17100</v>
      </c>
      <c r="D47" s="51">
        <v>120000</v>
      </c>
      <c r="E47" s="18" t="s">
        <v>16</v>
      </c>
      <c r="F47" s="18" t="s">
        <v>17</v>
      </c>
      <c r="G47" s="18"/>
    </row>
    <row r="48" spans="1:7" s="15" customFormat="1" ht="25.15" customHeight="1">
      <c r="A48" s="16">
        <v>44</v>
      </c>
      <c r="B48" s="19" t="s">
        <v>66</v>
      </c>
      <c r="C48" s="51">
        <v>33000</v>
      </c>
      <c r="D48" s="51">
        <v>240000</v>
      </c>
      <c r="E48" s="18" t="s">
        <v>16</v>
      </c>
      <c r="F48" s="18" t="s">
        <v>17</v>
      </c>
      <c r="G48" s="18"/>
    </row>
    <row r="49" spans="1:7" s="15" customFormat="1" ht="25.15" customHeight="1">
      <c r="A49" s="16">
        <v>45</v>
      </c>
      <c r="B49" s="19" t="s">
        <v>67</v>
      </c>
      <c r="C49" s="51">
        <v>33000</v>
      </c>
      <c r="D49" s="51">
        <v>240000</v>
      </c>
      <c r="E49" s="18" t="s">
        <v>16</v>
      </c>
      <c r="F49" s="18" t="s">
        <v>17</v>
      </c>
      <c r="G49" s="18"/>
    </row>
    <row r="50" spans="1:7" s="15" customFormat="1" ht="25.15" customHeight="1">
      <c r="A50" s="16">
        <v>46</v>
      </c>
      <c r="B50" s="19" t="s">
        <v>68</v>
      </c>
      <c r="C50" s="51">
        <v>12100</v>
      </c>
      <c r="D50" s="51">
        <v>65000</v>
      </c>
      <c r="E50" s="18" t="s">
        <v>16</v>
      </c>
      <c r="F50" s="18" t="s">
        <v>69</v>
      </c>
      <c r="G50" s="18"/>
    </row>
    <row r="51" spans="1:7" s="15" customFormat="1" ht="25.15" customHeight="1">
      <c r="A51" s="16">
        <v>47</v>
      </c>
      <c r="B51" s="19" t="s">
        <v>70</v>
      </c>
      <c r="C51" s="51">
        <v>9700</v>
      </c>
      <c r="D51" s="51">
        <v>55000</v>
      </c>
      <c r="E51" s="18" t="s">
        <v>19</v>
      </c>
      <c r="F51" s="18" t="s">
        <v>69</v>
      </c>
      <c r="G51" s="18"/>
    </row>
    <row r="52" spans="1:7" s="15" customFormat="1" ht="25.15" customHeight="1">
      <c r="A52" s="16">
        <v>48</v>
      </c>
      <c r="B52" s="19" t="s">
        <v>71</v>
      </c>
      <c r="C52" s="51">
        <v>21200</v>
      </c>
      <c r="D52" s="51">
        <v>140000</v>
      </c>
      <c r="E52" s="18" t="s">
        <v>16</v>
      </c>
      <c r="F52" s="18" t="s">
        <v>69</v>
      </c>
      <c r="G52" s="18"/>
    </row>
    <row r="53" spans="1:7" s="15" customFormat="1" ht="25.15" customHeight="1">
      <c r="A53" s="16">
        <v>49</v>
      </c>
      <c r="B53" s="17" t="s">
        <v>72</v>
      </c>
      <c r="C53" s="51">
        <v>12100</v>
      </c>
      <c r="D53" s="51">
        <v>65000</v>
      </c>
      <c r="E53" s="18" t="s">
        <v>16</v>
      </c>
      <c r="F53" s="18" t="s">
        <v>69</v>
      </c>
      <c r="G53" s="18"/>
    </row>
    <row r="54" spans="1:7" s="15" customFormat="1" ht="25.15" customHeight="1">
      <c r="A54" s="16">
        <v>50</v>
      </c>
      <c r="B54" s="17" t="s">
        <v>73</v>
      </c>
      <c r="C54" s="51">
        <v>12100</v>
      </c>
      <c r="D54" s="51">
        <v>65000</v>
      </c>
      <c r="E54" s="18" t="s">
        <v>74</v>
      </c>
      <c r="F54" s="18" t="s">
        <v>69</v>
      </c>
      <c r="G54" s="18"/>
    </row>
    <row r="55" spans="1:7" s="15" customFormat="1" ht="25.15" customHeight="1">
      <c r="A55" s="16">
        <v>51</v>
      </c>
      <c r="B55" s="17" t="s">
        <v>75</v>
      </c>
      <c r="C55" s="51">
        <v>7300</v>
      </c>
      <c r="D55" s="51">
        <v>45000</v>
      </c>
      <c r="E55" s="21" t="s">
        <v>43</v>
      </c>
      <c r="F55" s="18" t="s">
        <v>31</v>
      </c>
      <c r="G55" s="18"/>
    </row>
    <row r="56" spans="1:7" s="15" customFormat="1" ht="25.15" customHeight="1">
      <c r="A56" s="16">
        <v>52</v>
      </c>
      <c r="B56" s="17" t="s">
        <v>76</v>
      </c>
      <c r="C56" s="51">
        <v>8600</v>
      </c>
      <c r="D56" s="51">
        <v>45000</v>
      </c>
      <c r="E56" s="18" t="s">
        <v>16</v>
      </c>
      <c r="F56" s="18" t="s">
        <v>31</v>
      </c>
      <c r="G56" s="18"/>
    </row>
    <row r="57" spans="1:7" s="15" customFormat="1" ht="25.15" customHeight="1">
      <c r="A57" s="16">
        <v>53</v>
      </c>
      <c r="B57" s="17" t="s">
        <v>77</v>
      </c>
      <c r="C57" s="51">
        <v>9100</v>
      </c>
      <c r="D57" s="51">
        <v>55000</v>
      </c>
      <c r="E57" s="18" t="s">
        <v>16</v>
      </c>
      <c r="F57" s="18" t="s">
        <v>31</v>
      </c>
      <c r="G57" s="18"/>
    </row>
    <row r="58" spans="1:7" s="15" customFormat="1" ht="25.15" customHeight="1">
      <c r="A58" s="16">
        <v>54</v>
      </c>
      <c r="B58" s="17" t="s">
        <v>78</v>
      </c>
      <c r="C58" s="51">
        <v>9700</v>
      </c>
      <c r="D58" s="51">
        <v>55000</v>
      </c>
      <c r="E58" s="18" t="s">
        <v>16</v>
      </c>
      <c r="F58" s="18" t="s">
        <v>31</v>
      </c>
      <c r="G58" s="18"/>
    </row>
    <row r="59" spans="1:7" s="15" customFormat="1" ht="25.15" customHeight="1">
      <c r="A59" s="16">
        <v>55</v>
      </c>
      <c r="B59" s="17" t="s">
        <v>79</v>
      </c>
      <c r="C59" s="51">
        <v>9700</v>
      </c>
      <c r="D59" s="51">
        <v>55000</v>
      </c>
      <c r="E59" s="18" t="s">
        <v>19</v>
      </c>
      <c r="F59" s="18" t="s">
        <v>31</v>
      </c>
      <c r="G59" s="18"/>
    </row>
    <row r="60" spans="1:7" s="15" customFormat="1" ht="25.15" customHeight="1">
      <c r="A60" s="16">
        <v>56</v>
      </c>
      <c r="B60" s="17" t="s">
        <v>80</v>
      </c>
      <c r="C60" s="51">
        <v>9700</v>
      </c>
      <c r="D60" s="51">
        <v>55000</v>
      </c>
      <c r="E60" s="18" t="s">
        <v>81</v>
      </c>
      <c r="F60" s="18" t="s">
        <v>31</v>
      </c>
      <c r="G60" s="18"/>
    </row>
    <row r="61" spans="1:7" s="15" customFormat="1" ht="25.15" customHeight="1">
      <c r="A61" s="16">
        <v>57</v>
      </c>
      <c r="B61" s="17" t="s">
        <v>82</v>
      </c>
      <c r="C61" s="51">
        <v>10500</v>
      </c>
      <c r="D61" s="51">
        <v>55000</v>
      </c>
      <c r="E61" s="18" t="s">
        <v>16</v>
      </c>
      <c r="F61" s="18" t="s">
        <v>31</v>
      </c>
      <c r="G61" s="18"/>
    </row>
    <row r="62" spans="1:7" s="15" customFormat="1" ht="25.15" customHeight="1">
      <c r="A62" s="16">
        <v>58</v>
      </c>
      <c r="B62" s="17" t="s">
        <v>83</v>
      </c>
      <c r="C62" s="51">
        <v>10500</v>
      </c>
      <c r="D62" s="51">
        <v>65000</v>
      </c>
      <c r="E62" s="18" t="s">
        <v>16</v>
      </c>
      <c r="F62" s="18" t="s">
        <v>31</v>
      </c>
      <c r="G62" s="18"/>
    </row>
    <row r="63" spans="1:7" s="15" customFormat="1" ht="25.15" customHeight="1">
      <c r="A63" s="16">
        <v>59</v>
      </c>
      <c r="B63" s="17" t="s">
        <v>84</v>
      </c>
      <c r="C63" s="51">
        <v>10500</v>
      </c>
      <c r="D63" s="51">
        <v>65000</v>
      </c>
      <c r="E63" s="18" t="s">
        <v>19</v>
      </c>
      <c r="F63" s="18" t="s">
        <v>31</v>
      </c>
      <c r="G63" s="18"/>
    </row>
    <row r="64" spans="1:7" s="15" customFormat="1" ht="25.15" customHeight="1">
      <c r="A64" s="16">
        <v>60</v>
      </c>
      <c r="B64" s="17" t="s">
        <v>85</v>
      </c>
      <c r="C64" s="51">
        <v>12100</v>
      </c>
      <c r="D64" s="51">
        <v>80000</v>
      </c>
      <c r="E64" s="18" t="s">
        <v>16</v>
      </c>
      <c r="F64" s="18" t="s">
        <v>31</v>
      </c>
      <c r="G64" s="18"/>
    </row>
    <row r="65" spans="1:7" s="15" customFormat="1" ht="25.15" customHeight="1">
      <c r="A65" s="16">
        <v>61</v>
      </c>
      <c r="B65" s="17" t="s">
        <v>86</v>
      </c>
      <c r="C65" s="51">
        <v>12100</v>
      </c>
      <c r="D65" s="51">
        <v>80000</v>
      </c>
      <c r="E65" s="18" t="s">
        <v>16</v>
      </c>
      <c r="F65" s="18" t="s">
        <v>31</v>
      </c>
      <c r="G65" s="18"/>
    </row>
    <row r="66" spans="1:7" s="15" customFormat="1" ht="25.15" customHeight="1">
      <c r="A66" s="16">
        <v>62</v>
      </c>
      <c r="B66" s="17" t="s">
        <v>87</v>
      </c>
      <c r="C66" s="51">
        <v>13200</v>
      </c>
      <c r="D66" s="51">
        <v>80000</v>
      </c>
      <c r="E66" s="18" t="s">
        <v>16</v>
      </c>
      <c r="F66" s="18" t="s">
        <v>31</v>
      </c>
      <c r="G66" s="18"/>
    </row>
    <row r="67" spans="1:7" s="15" customFormat="1" ht="25.15" customHeight="1">
      <c r="A67" s="16">
        <v>63</v>
      </c>
      <c r="B67" s="17" t="s">
        <v>88</v>
      </c>
      <c r="C67" s="51">
        <v>13200</v>
      </c>
      <c r="D67" s="51">
        <v>80000</v>
      </c>
      <c r="E67" s="18" t="s">
        <v>16</v>
      </c>
      <c r="F67" s="18" t="s">
        <v>31</v>
      </c>
      <c r="G67" s="18"/>
    </row>
    <row r="68" spans="1:7" s="15" customFormat="1" ht="37.5" customHeight="1">
      <c r="A68" s="16">
        <v>64</v>
      </c>
      <c r="B68" s="17" t="s">
        <v>89</v>
      </c>
      <c r="C68" s="51">
        <v>18200</v>
      </c>
      <c r="D68" s="51">
        <v>120000</v>
      </c>
      <c r="E68" s="18" t="s">
        <v>16</v>
      </c>
      <c r="F68" s="18" t="s">
        <v>31</v>
      </c>
      <c r="G68" s="18"/>
    </row>
    <row r="69" spans="1:7" s="15" customFormat="1" ht="30.75" customHeight="1">
      <c r="A69" s="16">
        <v>65</v>
      </c>
      <c r="B69" s="17" t="s">
        <v>90</v>
      </c>
      <c r="C69" s="51">
        <v>21200</v>
      </c>
      <c r="D69" s="51">
        <v>180000</v>
      </c>
      <c r="E69" s="18" t="s">
        <v>16</v>
      </c>
      <c r="F69" s="18" t="s">
        <v>31</v>
      </c>
      <c r="G69" s="18"/>
    </row>
    <row r="70" spans="1:7" s="15" customFormat="1" ht="33" customHeight="1">
      <c r="A70" s="16">
        <v>66</v>
      </c>
      <c r="B70" s="17" t="s">
        <v>91</v>
      </c>
      <c r="C70" s="51">
        <v>42400</v>
      </c>
      <c r="D70" s="51">
        <v>240000</v>
      </c>
      <c r="E70" s="18" t="s">
        <v>16</v>
      </c>
      <c r="F70" s="18" t="s">
        <v>31</v>
      </c>
      <c r="G70" s="18"/>
    </row>
    <row r="71" spans="1:7" s="15" customFormat="1" ht="36" customHeight="1">
      <c r="A71" s="16">
        <v>67</v>
      </c>
      <c r="B71" s="17" t="s">
        <v>92</v>
      </c>
      <c r="C71" s="51">
        <v>48400.000000000007</v>
      </c>
      <c r="D71" s="51">
        <v>240000</v>
      </c>
      <c r="E71" s="18" t="s">
        <v>16</v>
      </c>
      <c r="F71" s="18" t="s">
        <v>31</v>
      </c>
      <c r="G71" s="18"/>
    </row>
    <row r="72" spans="1:7" s="15" customFormat="1" ht="51" customHeight="1">
      <c r="A72" s="16">
        <v>68</v>
      </c>
      <c r="B72" s="17" t="s">
        <v>93</v>
      </c>
      <c r="C72" s="51">
        <v>31300</v>
      </c>
      <c r="D72" s="51">
        <v>180000</v>
      </c>
      <c r="E72" s="18" t="s">
        <v>16</v>
      </c>
      <c r="F72" s="18" t="s">
        <v>31</v>
      </c>
      <c r="G72" s="18"/>
    </row>
    <row r="73" spans="1:7" s="15" customFormat="1" ht="33" customHeight="1">
      <c r="A73" s="16">
        <v>69</v>
      </c>
      <c r="B73" s="17" t="s">
        <v>94</v>
      </c>
      <c r="C73" s="51">
        <v>30300</v>
      </c>
      <c r="D73" s="51">
        <v>180000</v>
      </c>
      <c r="E73" s="18" t="s">
        <v>19</v>
      </c>
      <c r="F73" s="18" t="s">
        <v>31</v>
      </c>
      <c r="G73" s="18"/>
    </row>
    <row r="74" spans="1:7" s="15" customFormat="1" ht="25.15" customHeight="1">
      <c r="A74" s="16">
        <v>70</v>
      </c>
      <c r="B74" s="17" t="s">
        <v>95</v>
      </c>
      <c r="C74" s="51">
        <v>39400</v>
      </c>
      <c r="D74" s="51">
        <v>240000</v>
      </c>
      <c r="E74" s="18" t="s">
        <v>19</v>
      </c>
      <c r="F74" s="18" t="s">
        <v>31</v>
      </c>
      <c r="G74" s="18"/>
    </row>
    <row r="75" spans="1:7" s="15" customFormat="1" ht="25.15" customHeight="1">
      <c r="A75" s="16">
        <v>71</v>
      </c>
      <c r="B75" s="17" t="s">
        <v>96</v>
      </c>
      <c r="C75" s="51">
        <v>90800</v>
      </c>
      <c r="D75" s="51">
        <v>350000</v>
      </c>
      <c r="E75" s="18" t="s">
        <v>16</v>
      </c>
      <c r="F75" s="18" t="s">
        <v>31</v>
      </c>
      <c r="G75" s="18"/>
    </row>
    <row r="76" spans="1:7" s="15" customFormat="1" ht="25.15" customHeight="1">
      <c r="A76" s="16">
        <v>72</v>
      </c>
      <c r="B76" s="17" t="s">
        <v>97</v>
      </c>
      <c r="C76" s="51">
        <v>45400</v>
      </c>
      <c r="D76" s="51">
        <v>180000</v>
      </c>
      <c r="E76" s="18" t="s">
        <v>98</v>
      </c>
      <c r="F76" s="18" t="s">
        <v>31</v>
      </c>
      <c r="G76" s="18"/>
    </row>
    <row r="77" spans="1:7" s="15" customFormat="1" ht="25.15" customHeight="1">
      <c r="A77" s="16">
        <v>73</v>
      </c>
      <c r="B77" s="17" t="s">
        <v>99</v>
      </c>
      <c r="C77" s="51">
        <v>48400.000000000007</v>
      </c>
      <c r="D77" s="51">
        <v>240000</v>
      </c>
      <c r="E77" s="18" t="s">
        <v>100</v>
      </c>
      <c r="F77" s="18" t="s">
        <v>31</v>
      </c>
      <c r="G77" s="18"/>
    </row>
    <row r="78" spans="1:7" s="15" customFormat="1" ht="25.15" customHeight="1">
      <c r="A78" s="16">
        <v>74</v>
      </c>
      <c r="B78" s="17" t="s">
        <v>101</v>
      </c>
      <c r="C78" s="51">
        <v>36300</v>
      </c>
      <c r="D78" s="51">
        <v>130000</v>
      </c>
      <c r="E78" s="22" t="s">
        <v>16</v>
      </c>
      <c r="F78" s="18" t="s">
        <v>31</v>
      </c>
      <c r="G78" s="18"/>
    </row>
    <row r="79" spans="1:7" s="15" customFormat="1" ht="25.15" customHeight="1">
      <c r="A79" s="16">
        <v>75</v>
      </c>
      <c r="B79" s="17" t="s">
        <v>102</v>
      </c>
      <c r="C79" s="51">
        <v>42400</v>
      </c>
      <c r="D79" s="51">
        <v>150000</v>
      </c>
      <c r="E79" s="22" t="s">
        <v>16</v>
      </c>
      <c r="F79" s="18" t="s">
        <v>31</v>
      </c>
      <c r="G79" s="18"/>
    </row>
    <row r="80" spans="1:7" s="15" customFormat="1" ht="25.15" customHeight="1">
      <c r="A80" s="16">
        <v>76</v>
      </c>
      <c r="B80" s="17" t="s">
        <v>103</v>
      </c>
      <c r="C80" s="51">
        <v>45400</v>
      </c>
      <c r="D80" s="51">
        <v>150000</v>
      </c>
      <c r="E80" s="22" t="s">
        <v>16</v>
      </c>
      <c r="F80" s="18" t="s">
        <v>31</v>
      </c>
      <c r="G80" s="18"/>
    </row>
    <row r="81" spans="1:7" s="15" customFormat="1" ht="25.15" customHeight="1">
      <c r="A81" s="16">
        <v>77</v>
      </c>
      <c r="B81" s="17" t="s">
        <v>104</v>
      </c>
      <c r="C81" s="51">
        <v>12100</v>
      </c>
      <c r="D81" s="51">
        <v>65000</v>
      </c>
      <c r="E81" s="22" t="s">
        <v>16</v>
      </c>
      <c r="F81" s="18" t="s">
        <v>31</v>
      </c>
      <c r="G81" s="18"/>
    </row>
    <row r="82" spans="1:7" s="15" customFormat="1" ht="25.15" customHeight="1">
      <c r="A82" s="16">
        <v>78</v>
      </c>
      <c r="B82" s="17" t="s">
        <v>105</v>
      </c>
      <c r="C82" s="51">
        <v>8600</v>
      </c>
      <c r="D82" s="51">
        <v>45000</v>
      </c>
      <c r="E82" s="21" t="s">
        <v>43</v>
      </c>
      <c r="F82" s="18" t="s">
        <v>21</v>
      </c>
      <c r="G82" s="18"/>
    </row>
    <row r="83" spans="1:7" s="15" customFormat="1" ht="25.15" customHeight="1">
      <c r="A83" s="16">
        <v>79</v>
      </c>
      <c r="B83" s="17" t="s">
        <v>106</v>
      </c>
      <c r="C83" s="51">
        <v>9700</v>
      </c>
      <c r="D83" s="51">
        <v>55000</v>
      </c>
      <c r="E83" s="18" t="s">
        <v>16</v>
      </c>
      <c r="F83" s="18" t="s">
        <v>21</v>
      </c>
      <c r="G83" s="18"/>
    </row>
    <row r="84" spans="1:7" s="15" customFormat="1" ht="25.15" customHeight="1">
      <c r="A84" s="16">
        <v>80</v>
      </c>
      <c r="B84" s="17" t="s">
        <v>107</v>
      </c>
      <c r="C84" s="51">
        <v>9700</v>
      </c>
      <c r="D84" s="51">
        <v>55000</v>
      </c>
      <c r="E84" s="18" t="s">
        <v>16</v>
      </c>
      <c r="F84" s="18" t="s">
        <v>21</v>
      </c>
      <c r="G84" s="18"/>
    </row>
    <row r="85" spans="1:7" s="15" customFormat="1" ht="25.15" customHeight="1">
      <c r="A85" s="16">
        <v>81</v>
      </c>
      <c r="B85" s="17" t="s">
        <v>108</v>
      </c>
      <c r="C85" s="51">
        <v>10500</v>
      </c>
      <c r="D85" s="51">
        <v>65000</v>
      </c>
      <c r="E85" s="18" t="s">
        <v>16</v>
      </c>
      <c r="F85" s="18" t="s">
        <v>21</v>
      </c>
      <c r="G85" s="18"/>
    </row>
    <row r="86" spans="1:7" s="15" customFormat="1" ht="25.15" customHeight="1">
      <c r="A86" s="16">
        <v>82</v>
      </c>
      <c r="B86" s="17" t="s">
        <v>109</v>
      </c>
      <c r="C86" s="51">
        <v>18200</v>
      </c>
      <c r="D86" s="51">
        <v>120000</v>
      </c>
      <c r="E86" s="18" t="s">
        <v>16</v>
      </c>
      <c r="F86" s="18" t="s">
        <v>21</v>
      </c>
      <c r="G86" s="18"/>
    </row>
    <row r="87" spans="1:7" s="15" customFormat="1" ht="51.75" customHeight="1">
      <c r="A87" s="16">
        <v>83</v>
      </c>
      <c r="B87" s="17" t="s">
        <v>110</v>
      </c>
      <c r="C87" s="51">
        <v>33000</v>
      </c>
      <c r="D87" s="51">
        <v>240000</v>
      </c>
      <c r="E87" s="18" t="s">
        <v>16</v>
      </c>
      <c r="F87" s="18" t="s">
        <v>21</v>
      </c>
      <c r="G87" s="18"/>
    </row>
    <row r="88" spans="1:7" s="15" customFormat="1" ht="41.25" customHeight="1">
      <c r="A88" s="16">
        <v>84</v>
      </c>
      <c r="B88" s="17" t="s">
        <v>111</v>
      </c>
      <c r="C88" s="51">
        <v>8600</v>
      </c>
      <c r="D88" s="51">
        <v>45000</v>
      </c>
      <c r="E88" s="18" t="s">
        <v>19</v>
      </c>
      <c r="F88" s="18" t="s">
        <v>112</v>
      </c>
      <c r="G88" s="18"/>
    </row>
    <row r="89" spans="1:7" s="15" customFormat="1" ht="25.15" customHeight="1">
      <c r="A89" s="16">
        <v>85</v>
      </c>
      <c r="B89" s="17" t="s">
        <v>113</v>
      </c>
      <c r="C89" s="51">
        <v>12100</v>
      </c>
      <c r="D89" s="51">
        <v>80000</v>
      </c>
      <c r="E89" s="18" t="s">
        <v>81</v>
      </c>
      <c r="F89" s="18" t="s">
        <v>112</v>
      </c>
      <c r="G89" s="18"/>
    </row>
    <row r="90" spans="1:7" s="15" customFormat="1" ht="25.15" customHeight="1">
      <c r="A90" s="16">
        <v>86</v>
      </c>
      <c r="B90" s="17" t="s">
        <v>114</v>
      </c>
      <c r="C90" s="51">
        <v>27500</v>
      </c>
      <c r="D90" s="51">
        <v>180000</v>
      </c>
      <c r="E90" s="18" t="s">
        <v>16</v>
      </c>
      <c r="F90" s="18" t="s">
        <v>112</v>
      </c>
      <c r="G90" s="18"/>
    </row>
    <row r="91" spans="1:7" s="15" customFormat="1" ht="25.15" customHeight="1">
      <c r="A91" s="16">
        <v>87</v>
      </c>
      <c r="B91" s="17" t="s">
        <v>115</v>
      </c>
      <c r="C91" s="51">
        <v>12100</v>
      </c>
      <c r="D91" s="51">
        <v>65000</v>
      </c>
      <c r="E91" s="18" t="s">
        <v>19</v>
      </c>
      <c r="F91" s="18" t="s">
        <v>116</v>
      </c>
      <c r="G91" s="18"/>
    </row>
    <row r="92" spans="1:7" s="15" customFormat="1" ht="45" customHeight="1">
      <c r="A92" s="16">
        <v>88</v>
      </c>
      <c r="B92" s="17" t="s">
        <v>117</v>
      </c>
      <c r="C92" s="51">
        <v>12100</v>
      </c>
      <c r="D92" s="51">
        <v>65000</v>
      </c>
      <c r="E92" s="18" t="s">
        <v>19</v>
      </c>
      <c r="F92" s="18" t="s">
        <v>118</v>
      </c>
      <c r="G92" s="18"/>
    </row>
    <row r="93" spans="1:7" s="15" customFormat="1" ht="43.5" customHeight="1">
      <c r="A93" s="16">
        <v>89</v>
      </c>
      <c r="B93" s="17" t="s">
        <v>119</v>
      </c>
      <c r="C93" s="51">
        <v>9700</v>
      </c>
      <c r="D93" s="51">
        <v>55000</v>
      </c>
      <c r="E93" s="18" t="s">
        <v>16</v>
      </c>
      <c r="F93" s="18" t="s">
        <v>120</v>
      </c>
      <c r="G93" s="18"/>
    </row>
    <row r="94" spans="1:7" s="15" customFormat="1" ht="45" customHeight="1">
      <c r="A94" s="16">
        <v>90</v>
      </c>
      <c r="B94" s="17" t="s">
        <v>121</v>
      </c>
      <c r="C94" s="51">
        <v>30300</v>
      </c>
      <c r="D94" s="51">
        <v>180000</v>
      </c>
      <c r="E94" s="18" t="s">
        <v>16</v>
      </c>
      <c r="F94" s="18" t="s">
        <v>120</v>
      </c>
      <c r="G94" s="18"/>
    </row>
    <row r="95" spans="1:7" s="15" customFormat="1" ht="37.5" customHeight="1">
      <c r="A95" s="16">
        <v>91</v>
      </c>
      <c r="B95" s="17" t="s">
        <v>122</v>
      </c>
      <c r="C95" s="51">
        <v>11600</v>
      </c>
      <c r="D95" s="51">
        <v>65000</v>
      </c>
      <c r="E95" s="18" t="s">
        <v>19</v>
      </c>
      <c r="F95" s="18" t="s">
        <v>123</v>
      </c>
      <c r="G95" s="18"/>
    </row>
    <row r="96" spans="1:7" s="15" customFormat="1" ht="25.15" customHeight="1">
      <c r="A96" s="16">
        <v>92</v>
      </c>
      <c r="B96" s="17" t="s">
        <v>124</v>
      </c>
      <c r="C96" s="51">
        <v>10500</v>
      </c>
      <c r="D96" s="51">
        <v>65000</v>
      </c>
      <c r="E96" s="18" t="s">
        <v>16</v>
      </c>
      <c r="F96" s="18" t="s">
        <v>125</v>
      </c>
      <c r="G96" s="18"/>
    </row>
    <row r="97" spans="1:7" s="15" customFormat="1" ht="25.15" customHeight="1">
      <c r="A97" s="16">
        <v>93</v>
      </c>
      <c r="B97" s="17" t="s">
        <v>126</v>
      </c>
      <c r="C97" s="51">
        <v>10500</v>
      </c>
      <c r="D97" s="51">
        <v>65000</v>
      </c>
      <c r="E97" s="18" t="s">
        <v>16</v>
      </c>
      <c r="F97" s="18" t="s">
        <v>125</v>
      </c>
      <c r="G97" s="18"/>
    </row>
    <row r="98" spans="1:7" s="15" customFormat="1" ht="25.15" customHeight="1">
      <c r="A98" s="16">
        <v>94</v>
      </c>
      <c r="B98" s="23" t="s">
        <v>127</v>
      </c>
      <c r="C98" s="51">
        <v>12100</v>
      </c>
      <c r="D98" s="51">
        <v>70000</v>
      </c>
      <c r="E98" s="18" t="s">
        <v>16</v>
      </c>
      <c r="F98" s="24" t="s">
        <v>128</v>
      </c>
      <c r="G98" s="24"/>
    </row>
    <row r="99" spans="1:7" s="15" customFormat="1" ht="25.15" customHeight="1">
      <c r="A99" s="16">
        <v>95</v>
      </c>
      <c r="B99" s="23" t="s">
        <v>129</v>
      </c>
      <c r="C99" s="51">
        <v>12100</v>
      </c>
      <c r="D99" s="51">
        <v>70000</v>
      </c>
      <c r="E99" s="18" t="s">
        <v>16</v>
      </c>
      <c r="F99" s="24" t="s">
        <v>128</v>
      </c>
      <c r="G99" s="24"/>
    </row>
    <row r="100" spans="1:7" s="15" customFormat="1" ht="25.15" customHeight="1">
      <c r="A100" s="16">
        <v>96</v>
      </c>
      <c r="B100" s="23" t="s">
        <v>130</v>
      </c>
      <c r="C100" s="51">
        <v>12100</v>
      </c>
      <c r="D100" s="51">
        <v>70000</v>
      </c>
      <c r="E100" s="18" t="s">
        <v>16</v>
      </c>
      <c r="F100" s="24" t="s">
        <v>128</v>
      </c>
      <c r="G100" s="24"/>
    </row>
    <row r="101" spans="1:7" s="15" customFormat="1" ht="25.15" customHeight="1">
      <c r="A101" s="16">
        <v>97</v>
      </c>
      <c r="B101" s="23" t="s">
        <v>131</v>
      </c>
      <c r="C101" s="51">
        <v>12100</v>
      </c>
      <c r="D101" s="51">
        <v>70000</v>
      </c>
      <c r="E101" s="18" t="s">
        <v>19</v>
      </c>
      <c r="F101" s="24" t="s">
        <v>128</v>
      </c>
      <c r="G101" s="24"/>
    </row>
    <row r="102" spans="1:7" s="15" customFormat="1" ht="25.15" customHeight="1">
      <c r="A102" s="16">
        <v>98</v>
      </c>
      <c r="B102" s="19" t="s">
        <v>132</v>
      </c>
      <c r="C102" s="51">
        <v>3000</v>
      </c>
      <c r="D102" s="51">
        <v>35000</v>
      </c>
      <c r="E102" s="18" t="s">
        <v>16</v>
      </c>
      <c r="F102" s="18" t="s">
        <v>24</v>
      </c>
      <c r="G102" s="18"/>
    </row>
    <row r="103" spans="1:7" s="15" customFormat="1" ht="25.15" customHeight="1">
      <c r="A103" s="16">
        <v>99</v>
      </c>
      <c r="B103" s="19" t="s">
        <v>133</v>
      </c>
      <c r="C103" s="51">
        <v>3000</v>
      </c>
      <c r="D103" s="51">
        <v>35000</v>
      </c>
      <c r="E103" s="18" t="s">
        <v>19</v>
      </c>
      <c r="F103" s="18" t="s">
        <v>24</v>
      </c>
      <c r="G103" s="18"/>
    </row>
    <row r="104" spans="1:7" s="15" customFormat="1" ht="25.15" customHeight="1">
      <c r="A104" s="16">
        <v>100</v>
      </c>
      <c r="B104" s="19" t="s">
        <v>134</v>
      </c>
      <c r="C104" s="51">
        <v>3300</v>
      </c>
      <c r="D104" s="51">
        <v>40000</v>
      </c>
      <c r="E104" s="18" t="s">
        <v>16</v>
      </c>
      <c r="F104" s="18" t="s">
        <v>24</v>
      </c>
      <c r="G104" s="18"/>
    </row>
    <row r="105" spans="1:7" s="15" customFormat="1" ht="25.15" customHeight="1">
      <c r="A105" s="16">
        <v>101</v>
      </c>
      <c r="B105" s="19" t="s">
        <v>135</v>
      </c>
      <c r="C105" s="51">
        <v>3300</v>
      </c>
      <c r="D105" s="51">
        <v>35000</v>
      </c>
      <c r="E105" s="18" t="s">
        <v>16</v>
      </c>
      <c r="F105" s="18" t="s">
        <v>24</v>
      </c>
      <c r="G105" s="18"/>
    </row>
    <row r="106" spans="1:7" s="15" customFormat="1" ht="25.15" customHeight="1">
      <c r="A106" s="16">
        <v>102</v>
      </c>
      <c r="B106" s="19" t="s">
        <v>136</v>
      </c>
      <c r="C106" s="51">
        <v>3300</v>
      </c>
      <c r="D106" s="51">
        <v>35000</v>
      </c>
      <c r="E106" s="18" t="s">
        <v>16</v>
      </c>
      <c r="F106" s="18" t="s">
        <v>24</v>
      </c>
      <c r="G106" s="18"/>
    </row>
    <row r="107" spans="1:7" s="15" customFormat="1" ht="25.15" customHeight="1">
      <c r="A107" s="16">
        <v>103</v>
      </c>
      <c r="B107" s="19" t="s">
        <v>137</v>
      </c>
      <c r="C107" s="51">
        <v>3300</v>
      </c>
      <c r="D107" s="51">
        <v>35000</v>
      </c>
      <c r="E107" s="18" t="s">
        <v>19</v>
      </c>
      <c r="F107" s="18" t="s">
        <v>24</v>
      </c>
      <c r="G107" s="18"/>
    </row>
    <row r="108" spans="1:7" s="15" customFormat="1" ht="25.15" customHeight="1">
      <c r="A108" s="16">
        <v>104</v>
      </c>
      <c r="B108" s="19" t="s">
        <v>138</v>
      </c>
      <c r="C108" s="51">
        <v>4100</v>
      </c>
      <c r="D108" s="51">
        <v>35000</v>
      </c>
      <c r="E108" s="18" t="s">
        <v>16</v>
      </c>
      <c r="F108" s="18" t="s">
        <v>24</v>
      </c>
      <c r="G108" s="18"/>
    </row>
    <row r="109" spans="1:7" s="15" customFormat="1" ht="25.15" customHeight="1">
      <c r="A109" s="16">
        <v>105</v>
      </c>
      <c r="B109" s="19" t="s">
        <v>139</v>
      </c>
      <c r="C109" s="51">
        <v>4100</v>
      </c>
      <c r="D109" s="51">
        <v>35000</v>
      </c>
      <c r="E109" s="18" t="s">
        <v>16</v>
      </c>
      <c r="F109" s="18" t="s">
        <v>24</v>
      </c>
      <c r="G109" s="18"/>
    </row>
    <row r="110" spans="1:7" s="15" customFormat="1" ht="25.15" customHeight="1">
      <c r="A110" s="16">
        <v>106</v>
      </c>
      <c r="B110" s="19" t="s">
        <v>140</v>
      </c>
      <c r="C110" s="51">
        <v>4100</v>
      </c>
      <c r="D110" s="51">
        <v>40000</v>
      </c>
      <c r="E110" s="18" t="s">
        <v>16</v>
      </c>
      <c r="F110" s="18" t="s">
        <v>24</v>
      </c>
      <c r="G110" s="18"/>
    </row>
    <row r="111" spans="1:7" s="15" customFormat="1" ht="25.15" customHeight="1">
      <c r="A111" s="16">
        <v>107</v>
      </c>
      <c r="B111" s="19" t="s">
        <v>141</v>
      </c>
      <c r="C111" s="51">
        <v>4300</v>
      </c>
      <c r="D111" s="51">
        <v>45000</v>
      </c>
      <c r="E111" s="18" t="s">
        <v>81</v>
      </c>
      <c r="F111" s="18" t="s">
        <v>24</v>
      </c>
      <c r="G111" s="18"/>
    </row>
    <row r="112" spans="1:7" s="15" customFormat="1" ht="25.15" customHeight="1">
      <c r="A112" s="16">
        <v>108</v>
      </c>
      <c r="B112" s="19" t="s">
        <v>142</v>
      </c>
      <c r="C112" s="51">
        <v>4900</v>
      </c>
      <c r="D112" s="51">
        <v>40000</v>
      </c>
      <c r="E112" s="18" t="s">
        <v>16</v>
      </c>
      <c r="F112" s="18" t="s">
        <v>24</v>
      </c>
      <c r="G112" s="18"/>
    </row>
    <row r="113" spans="1:8" s="15" customFormat="1" ht="25.15" customHeight="1">
      <c r="A113" s="16">
        <v>109</v>
      </c>
      <c r="B113" s="17" t="s">
        <v>143</v>
      </c>
      <c r="C113" s="51">
        <v>4900</v>
      </c>
      <c r="D113" s="51">
        <v>40000</v>
      </c>
      <c r="E113" s="18" t="s">
        <v>19</v>
      </c>
      <c r="F113" s="18" t="s">
        <v>24</v>
      </c>
      <c r="G113" s="18"/>
    </row>
    <row r="114" spans="1:8" s="15" customFormat="1" ht="25.15" customHeight="1">
      <c r="A114" s="16">
        <v>110</v>
      </c>
      <c r="B114" s="17" t="s">
        <v>144</v>
      </c>
      <c r="C114" s="51">
        <v>11000</v>
      </c>
      <c r="D114" s="51">
        <v>65000</v>
      </c>
      <c r="E114" s="18" t="s">
        <v>16</v>
      </c>
      <c r="F114" s="18" t="s">
        <v>24</v>
      </c>
      <c r="G114" s="18"/>
    </row>
    <row r="115" spans="1:8" s="15" customFormat="1" ht="25.15" customHeight="1">
      <c r="A115" s="16">
        <v>111</v>
      </c>
      <c r="B115" s="17" t="s">
        <v>145</v>
      </c>
      <c r="C115" s="51">
        <v>14600</v>
      </c>
      <c r="D115" s="51">
        <v>90000</v>
      </c>
      <c r="E115" s="18" t="s">
        <v>16</v>
      </c>
      <c r="F115" s="18" t="s">
        <v>24</v>
      </c>
      <c r="G115" s="18"/>
    </row>
    <row r="116" spans="1:8" s="15" customFormat="1" ht="25.15" customHeight="1">
      <c r="A116" s="16">
        <v>112</v>
      </c>
      <c r="B116" s="23" t="s">
        <v>146</v>
      </c>
      <c r="C116" s="51">
        <v>9900</v>
      </c>
      <c r="D116" s="51">
        <v>60000</v>
      </c>
      <c r="E116" s="18" t="s">
        <v>19</v>
      </c>
      <c r="F116" s="18" t="s">
        <v>24</v>
      </c>
      <c r="G116" s="18"/>
    </row>
    <row r="117" spans="1:8" s="15" customFormat="1" ht="25.15" customHeight="1">
      <c r="A117" s="16">
        <v>113</v>
      </c>
      <c r="B117" s="23" t="s">
        <v>147</v>
      </c>
      <c r="C117" s="51">
        <v>9900</v>
      </c>
      <c r="D117" s="51">
        <v>60000</v>
      </c>
      <c r="E117" s="18" t="s">
        <v>16</v>
      </c>
      <c r="F117" s="18" t="s">
        <v>24</v>
      </c>
      <c r="G117" s="18"/>
    </row>
    <row r="118" spans="1:8" s="15" customFormat="1" ht="25.15" customHeight="1">
      <c r="A118" s="16">
        <v>114</v>
      </c>
      <c r="B118" s="23" t="s">
        <v>148</v>
      </c>
      <c r="C118" s="51">
        <v>9900</v>
      </c>
      <c r="D118" s="51">
        <v>60000</v>
      </c>
      <c r="E118" s="18" t="s">
        <v>19</v>
      </c>
      <c r="F118" s="18" t="s">
        <v>24</v>
      </c>
      <c r="G118" s="18"/>
    </row>
    <row r="119" spans="1:8" s="15" customFormat="1" ht="25.15" customHeight="1">
      <c r="A119" s="16">
        <v>115</v>
      </c>
      <c r="B119" s="23" t="s">
        <v>149</v>
      </c>
      <c r="C119" s="51">
        <v>9900</v>
      </c>
      <c r="D119" s="51">
        <v>60000</v>
      </c>
      <c r="E119" s="18" t="s">
        <v>81</v>
      </c>
      <c r="F119" s="18" t="s">
        <v>24</v>
      </c>
      <c r="G119" s="18"/>
    </row>
    <row r="120" spans="1:8" s="15" customFormat="1" ht="25.15" customHeight="1">
      <c r="A120" s="16">
        <v>116</v>
      </c>
      <c r="B120" s="23" t="s">
        <v>150</v>
      </c>
      <c r="C120" s="51">
        <v>9900</v>
      </c>
      <c r="D120" s="51">
        <v>60000</v>
      </c>
      <c r="E120" s="18" t="s">
        <v>16</v>
      </c>
      <c r="F120" s="18" t="s">
        <v>24</v>
      </c>
      <c r="G120" s="18"/>
    </row>
    <row r="121" spans="1:8" s="15" customFormat="1" ht="25.15" customHeight="1">
      <c r="A121" s="16">
        <v>117</v>
      </c>
      <c r="B121" s="17" t="s">
        <v>151</v>
      </c>
      <c r="C121" s="51">
        <v>3000</v>
      </c>
      <c r="D121" s="51">
        <v>30000</v>
      </c>
      <c r="E121" s="18" t="s">
        <v>19</v>
      </c>
      <c r="F121" s="18" t="s">
        <v>24</v>
      </c>
      <c r="G121" s="18"/>
    </row>
    <row r="122" spans="1:8" s="15" customFormat="1" ht="25.15" customHeight="1">
      <c r="A122" s="16">
        <v>118</v>
      </c>
      <c r="B122" s="17" t="s">
        <v>152</v>
      </c>
      <c r="C122" s="51">
        <v>3000</v>
      </c>
      <c r="D122" s="51">
        <v>30000</v>
      </c>
      <c r="E122" s="18" t="s">
        <v>16</v>
      </c>
      <c r="F122" s="18" t="s">
        <v>24</v>
      </c>
      <c r="G122" s="18"/>
    </row>
    <row r="123" spans="1:8" s="15" customFormat="1" ht="25.15" customHeight="1">
      <c r="A123" s="16">
        <v>119</v>
      </c>
      <c r="B123" s="17" t="s">
        <v>153</v>
      </c>
      <c r="C123" s="51">
        <v>11000</v>
      </c>
      <c r="D123" s="51">
        <v>80000</v>
      </c>
      <c r="E123" s="18" t="s">
        <v>19</v>
      </c>
      <c r="F123" s="18" t="s">
        <v>24</v>
      </c>
      <c r="G123" s="18"/>
    </row>
    <row r="124" spans="1:8" s="15" customFormat="1" ht="25.15" customHeight="1">
      <c r="A124" s="16">
        <v>120</v>
      </c>
      <c r="B124" s="17" t="s">
        <v>154</v>
      </c>
      <c r="C124" s="51">
        <v>11000</v>
      </c>
      <c r="D124" s="51">
        <v>80000</v>
      </c>
      <c r="E124" s="18" t="s">
        <v>16</v>
      </c>
      <c r="F124" s="18" t="s">
        <v>24</v>
      </c>
      <c r="G124" s="18"/>
    </row>
    <row r="125" spans="1:8" ht="33.75" customHeight="1">
      <c r="A125" s="16">
        <v>121</v>
      </c>
      <c r="B125" s="17" t="s">
        <v>155</v>
      </c>
      <c r="C125" s="51">
        <v>20000</v>
      </c>
      <c r="D125" s="51">
        <v>40000</v>
      </c>
      <c r="E125" s="18" t="s">
        <v>156</v>
      </c>
      <c r="F125" s="25"/>
      <c r="G125" s="25"/>
      <c r="H125" s="14"/>
    </row>
    <row r="126" spans="1:8" ht="33.75" customHeight="1">
      <c r="A126" s="26">
        <v>122</v>
      </c>
      <c r="B126" s="27" t="s">
        <v>157</v>
      </c>
      <c r="C126" s="52">
        <v>2500</v>
      </c>
      <c r="D126" s="52">
        <v>5000</v>
      </c>
      <c r="E126" s="28" t="s">
        <v>158</v>
      </c>
      <c r="F126" s="29"/>
      <c r="G126" s="29"/>
      <c r="H126" s="14"/>
    </row>
    <row r="127" spans="1:8" ht="36" customHeight="1" thickBot="1">
      <c r="A127" s="30">
        <v>123</v>
      </c>
      <c r="B127" s="31" t="s">
        <v>159</v>
      </c>
      <c r="C127" s="53">
        <v>8000</v>
      </c>
      <c r="D127" s="53"/>
      <c r="E127" s="32" t="s">
        <v>156</v>
      </c>
      <c r="F127" s="33"/>
      <c r="G127" s="33"/>
      <c r="H127" s="14"/>
    </row>
  </sheetData>
  <mergeCells count="9">
    <mergeCell ref="A1:G1"/>
    <mergeCell ref="C3:C4"/>
    <mergeCell ref="A3:A4"/>
    <mergeCell ref="B3:B4"/>
    <mergeCell ref="E3:E4"/>
    <mergeCell ref="G3:G4"/>
    <mergeCell ref="F3:F4"/>
    <mergeCell ref="D3:D4"/>
    <mergeCell ref="A2:G2"/>
  </mergeCells>
  <phoneticPr fontId="5" type="noConversion"/>
  <printOptions horizontalCentered="1"/>
  <pageMargins left="0" right="0" top="0" bottom="0" header="0" footer="0"/>
  <pageSetup paperSize="9" scale="5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zoomScaleNormal="100" workbookViewId="0">
      <selection activeCell="B31" sqref="B31"/>
    </sheetView>
  </sheetViews>
  <sheetFormatPr defaultColWidth="8.75" defaultRowHeight="17.25"/>
  <cols>
    <col min="1" max="1" width="14.125" style="41" customWidth="1"/>
    <col min="2" max="2" width="46" style="38" customWidth="1"/>
    <col min="3" max="3" width="13" style="54" customWidth="1"/>
    <col min="4" max="4" width="14.625" style="55" customWidth="1"/>
    <col min="5" max="5" width="8.75" style="55" customWidth="1"/>
    <col min="6" max="6" width="12.75" style="54" bestFit="1" customWidth="1"/>
    <col min="7" max="7" width="11.625" style="54" bestFit="1" customWidth="1"/>
    <col min="8" max="8" width="12.25" style="54" customWidth="1"/>
    <col min="9" max="9" width="29" style="41" customWidth="1"/>
    <col min="10" max="10" width="8.75" style="38" customWidth="1"/>
    <col min="11" max="11" width="18.5" style="38" customWidth="1"/>
    <col min="12" max="12" width="8.75" style="38" customWidth="1"/>
    <col min="13" max="16384" width="8.75" style="38"/>
  </cols>
  <sheetData>
    <row r="1" spans="1:9">
      <c r="A1" s="76" t="s">
        <v>160</v>
      </c>
      <c r="B1" s="77"/>
      <c r="C1" s="77"/>
      <c r="D1" s="77"/>
      <c r="E1" s="77"/>
      <c r="F1" s="77"/>
      <c r="G1" s="77"/>
      <c r="H1" s="77"/>
      <c r="I1" s="78"/>
    </row>
    <row r="2" spans="1:9">
      <c r="A2" s="79"/>
      <c r="B2" s="80"/>
      <c r="C2" s="81"/>
      <c r="D2" s="82"/>
      <c r="E2" s="82"/>
      <c r="F2" s="81"/>
      <c r="G2" s="81"/>
      <c r="H2" s="81"/>
      <c r="I2" s="83"/>
    </row>
    <row r="3" spans="1:9">
      <c r="A3" s="39" t="s">
        <v>161</v>
      </c>
      <c r="B3" s="39" t="s">
        <v>162</v>
      </c>
      <c r="C3" s="56" t="s">
        <v>163</v>
      </c>
      <c r="D3" s="57" t="s">
        <v>164</v>
      </c>
      <c r="E3" s="57" t="s">
        <v>165</v>
      </c>
      <c r="F3" s="56" t="s">
        <v>166</v>
      </c>
      <c r="G3" s="56" t="s">
        <v>167</v>
      </c>
      <c r="H3" s="56" t="s">
        <v>168</v>
      </c>
      <c r="I3" s="39" t="s">
        <v>169</v>
      </c>
    </row>
    <row r="4" spans="1:9">
      <c r="A4" s="71" t="s">
        <v>229</v>
      </c>
      <c r="B4" s="45" t="s">
        <v>55</v>
      </c>
      <c r="C4" s="40">
        <f>_xlfn.XLOOKUP(B4, 출고가!$B:$B, 출고가!$C:$C, "")</f>
        <v>8600</v>
      </c>
      <c r="D4" s="40">
        <f>C4+1000</f>
        <v>9600</v>
      </c>
      <c r="E4" s="40">
        <v>41</v>
      </c>
      <c r="F4" s="40">
        <f t="shared" ref="F4:F9" si="0">D4*E4</f>
        <v>393600</v>
      </c>
      <c r="G4" s="40">
        <f t="shared" ref="G4:G9" si="1">F4*10%</f>
        <v>39360</v>
      </c>
      <c r="H4" s="40">
        <f t="shared" ref="H4:H9" si="2">SUM(F4:G4)</f>
        <v>432960</v>
      </c>
      <c r="I4" s="71" t="s">
        <v>230</v>
      </c>
    </row>
    <row r="5" spans="1:9">
      <c r="A5" s="72"/>
      <c r="B5" s="43" t="s">
        <v>170</v>
      </c>
      <c r="C5" s="40" t="str">
        <f>_xlfn.XLOOKUP(B5, 출고가!$B:$B, 출고가!$C:$C, "")</f>
        <v/>
      </c>
      <c r="D5" s="40"/>
      <c r="E5" s="40">
        <v>41</v>
      </c>
      <c r="F5" s="40">
        <f t="shared" si="0"/>
        <v>0</v>
      </c>
      <c r="G5" s="40">
        <f t="shared" si="1"/>
        <v>0</v>
      </c>
      <c r="H5" s="40">
        <f t="shared" si="2"/>
        <v>0</v>
      </c>
      <c r="I5" s="72"/>
    </row>
    <row r="6" spans="1:9">
      <c r="A6" s="72"/>
      <c r="B6" s="43" t="s">
        <v>28</v>
      </c>
      <c r="C6" s="40">
        <f>_xlfn.XLOOKUP(B6, 출고가!$B:$B, 출고가!$C:$C, "")</f>
        <v>8600</v>
      </c>
      <c r="D6" s="40">
        <f>C6+1000</f>
        <v>9600</v>
      </c>
      <c r="E6" s="40">
        <v>6</v>
      </c>
      <c r="F6" s="40">
        <f t="shared" si="0"/>
        <v>57600</v>
      </c>
      <c r="G6" s="40">
        <f t="shared" si="1"/>
        <v>5760</v>
      </c>
      <c r="H6" s="40">
        <f t="shared" si="2"/>
        <v>63360</v>
      </c>
      <c r="I6" s="72"/>
    </row>
    <row r="7" spans="1:9">
      <c r="A7" s="72"/>
      <c r="B7" s="43" t="s">
        <v>27</v>
      </c>
      <c r="C7" s="40">
        <f>_xlfn.XLOOKUP(B7, 출고가!$B:$B, 출고가!$C:$C, "")</f>
        <v>6100</v>
      </c>
      <c r="D7" s="40">
        <f>C7+1000</f>
        <v>7100</v>
      </c>
      <c r="E7" s="40">
        <v>4</v>
      </c>
      <c r="F7" s="40">
        <f t="shared" si="0"/>
        <v>28400</v>
      </c>
      <c r="G7" s="40">
        <f t="shared" si="1"/>
        <v>2840</v>
      </c>
      <c r="H7" s="40">
        <f t="shared" si="2"/>
        <v>31240</v>
      </c>
      <c r="I7" s="72"/>
    </row>
    <row r="8" spans="1:9">
      <c r="A8" s="72"/>
      <c r="B8" s="43" t="s">
        <v>26</v>
      </c>
      <c r="C8" s="40">
        <f>_xlfn.XLOOKUP(B8, 출고가!$B:$B, 출고가!$C:$C, "")</f>
        <v>6100</v>
      </c>
      <c r="D8" s="40">
        <f>C8+1000</f>
        <v>7100</v>
      </c>
      <c r="E8" s="40">
        <v>7</v>
      </c>
      <c r="F8" s="40">
        <f t="shared" si="0"/>
        <v>49700</v>
      </c>
      <c r="G8" s="40">
        <f t="shared" si="1"/>
        <v>4970</v>
      </c>
      <c r="H8" s="40">
        <f t="shared" si="2"/>
        <v>54670</v>
      </c>
      <c r="I8" s="72"/>
    </row>
    <row r="9" spans="1:9">
      <c r="A9" s="64"/>
      <c r="B9" s="43" t="s">
        <v>78</v>
      </c>
      <c r="C9" s="40">
        <f>_xlfn.XLOOKUP(B9, 출고가!$B:$B, 출고가!$C:$C, "")</f>
        <v>9700</v>
      </c>
      <c r="D9" s="40">
        <f>C9+1000</f>
        <v>10700</v>
      </c>
      <c r="E9" s="40">
        <v>5</v>
      </c>
      <c r="F9" s="40">
        <f t="shared" si="0"/>
        <v>53500</v>
      </c>
      <c r="G9" s="40">
        <f t="shared" si="1"/>
        <v>5350</v>
      </c>
      <c r="H9" s="40">
        <f t="shared" si="2"/>
        <v>58850</v>
      </c>
      <c r="I9" s="64"/>
    </row>
    <row r="10" spans="1:9">
      <c r="A10" s="42"/>
      <c r="B10" s="43"/>
      <c r="C10" s="40"/>
      <c r="D10" s="40"/>
      <c r="E10" s="40"/>
      <c r="F10" s="40"/>
      <c r="G10" s="40"/>
      <c r="H10" s="40"/>
      <c r="I10" s="42"/>
    </row>
    <row r="11" spans="1:9">
      <c r="A11" s="42"/>
      <c r="B11" s="84"/>
      <c r="C11" s="74"/>
      <c r="D11" s="75"/>
      <c r="E11" s="75"/>
      <c r="F11" s="73">
        <f>SUM(F4:F9)</f>
        <v>582800</v>
      </c>
      <c r="G11" s="73">
        <f>SUM(G4:G9)</f>
        <v>58280</v>
      </c>
      <c r="H11" s="73">
        <f>SUM(H4:H9)</f>
        <v>641080</v>
      </c>
      <c r="I11" s="42"/>
    </row>
    <row r="12" spans="1:9">
      <c r="A12" s="42"/>
      <c r="B12" s="72"/>
      <c r="C12" s="72"/>
      <c r="D12" s="72"/>
      <c r="E12" s="72"/>
      <c r="F12" s="72"/>
      <c r="G12" s="72"/>
      <c r="H12" s="72"/>
      <c r="I12" s="42"/>
    </row>
    <row r="13" spans="1:9">
      <c r="A13" s="42"/>
      <c r="B13" s="64"/>
      <c r="C13" s="64"/>
      <c r="D13" s="64"/>
      <c r="E13" s="64"/>
      <c r="F13" s="64"/>
      <c r="G13" s="64"/>
      <c r="H13" s="64"/>
      <c r="I13" s="42"/>
    </row>
  </sheetData>
  <mergeCells count="10">
    <mergeCell ref="A1:I2"/>
    <mergeCell ref="E11:E13"/>
    <mergeCell ref="B11:B13"/>
    <mergeCell ref="F11:F13"/>
    <mergeCell ref="A4:A9"/>
    <mergeCell ref="I4:I9"/>
    <mergeCell ref="G11:G13"/>
    <mergeCell ref="H11:H13"/>
    <mergeCell ref="C11:C13"/>
    <mergeCell ref="D11:D13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11"/>
  <sheetViews>
    <sheetView workbookViewId="0">
      <selection activeCell="AJ92" sqref="AJ92:AJ110"/>
    </sheetView>
  </sheetViews>
  <sheetFormatPr defaultRowHeight="16.5"/>
  <cols>
    <col min="1" max="1" width="36.25" style="44" customWidth="1"/>
    <col min="2" max="32" width="4.75" style="44" customWidth="1"/>
    <col min="33" max="35" width="11" style="44" customWidth="1"/>
    <col min="36" max="36" width="11.5" style="44" customWidth="1"/>
    <col min="37" max="37" width="21" style="44" customWidth="1"/>
  </cols>
  <sheetData>
    <row r="1" spans="1:37" ht="35.1" customHeight="1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</row>
    <row r="3" spans="1:37" ht="26.1" customHeight="1">
      <c r="A3" s="1" t="s">
        <v>1</v>
      </c>
      <c r="B3" s="1" t="s">
        <v>172</v>
      </c>
      <c r="C3" s="1" t="s">
        <v>173</v>
      </c>
      <c r="D3" s="1" t="s">
        <v>174</v>
      </c>
      <c r="E3" s="1" t="s">
        <v>175</v>
      </c>
      <c r="F3" s="1" t="s">
        <v>176</v>
      </c>
      <c r="G3" s="1" t="s">
        <v>177</v>
      </c>
      <c r="H3" s="1" t="s">
        <v>178</v>
      </c>
      <c r="I3" s="1" t="s">
        <v>179</v>
      </c>
      <c r="J3" s="1" t="s">
        <v>180</v>
      </c>
      <c r="K3" s="1" t="s">
        <v>181</v>
      </c>
      <c r="L3" s="1" t="s">
        <v>182</v>
      </c>
      <c r="M3" s="1" t="s">
        <v>183</v>
      </c>
      <c r="N3" s="1" t="s">
        <v>184</v>
      </c>
      <c r="O3" s="1" t="s">
        <v>185</v>
      </c>
      <c r="P3" s="1" t="s">
        <v>186</v>
      </c>
      <c r="Q3" s="1" t="s">
        <v>187</v>
      </c>
      <c r="R3" s="1" t="s">
        <v>188</v>
      </c>
      <c r="S3" s="1" t="s">
        <v>189</v>
      </c>
      <c r="T3" s="1" t="s">
        <v>190</v>
      </c>
      <c r="U3" s="1" t="s">
        <v>191</v>
      </c>
      <c r="V3" s="1" t="s">
        <v>192</v>
      </c>
      <c r="W3" s="1" t="s">
        <v>193</v>
      </c>
      <c r="X3" s="1" t="s">
        <v>194</v>
      </c>
      <c r="Y3" s="1" t="s">
        <v>195</v>
      </c>
      <c r="Z3" s="1" t="s">
        <v>196</v>
      </c>
      <c r="AA3" s="1" t="s">
        <v>197</v>
      </c>
      <c r="AB3" s="1" t="s">
        <v>198</v>
      </c>
      <c r="AC3" s="1" t="s">
        <v>199</v>
      </c>
      <c r="AD3" s="1" t="s">
        <v>200</v>
      </c>
      <c r="AE3" s="1" t="s">
        <v>201</v>
      </c>
      <c r="AF3" s="1" t="s">
        <v>202</v>
      </c>
      <c r="AG3" s="1" t="s">
        <v>2</v>
      </c>
      <c r="AH3" s="1" t="s">
        <v>3</v>
      </c>
      <c r="AI3" s="1" t="s">
        <v>4</v>
      </c>
      <c r="AJ3" s="1" t="s">
        <v>5</v>
      </c>
    </row>
    <row r="4" spans="1:37" ht="20.100000000000001" customHeight="1">
      <c r="A4" s="2" t="s">
        <v>15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4">
        <v>25</v>
      </c>
      <c r="AH4" s="4">
        <v>0</v>
      </c>
      <c r="AI4" s="4">
        <f t="shared" ref="AI4:AI38" si="0">SUM(B4:AF4)</f>
        <v>0</v>
      </c>
      <c r="AJ4" s="5">
        <f t="shared" ref="AJ4:AJ35" si="1">AG4+AH4-AI4</f>
        <v>25</v>
      </c>
    </row>
    <row r="5" spans="1:37" ht="20.100000000000001" customHeight="1">
      <c r="A5" s="6" t="s">
        <v>18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8">
        <v>42</v>
      </c>
      <c r="AH5" s="8">
        <v>0</v>
      </c>
      <c r="AI5" s="4">
        <f t="shared" si="0"/>
        <v>0</v>
      </c>
      <c r="AJ5" s="5">
        <f t="shared" si="1"/>
        <v>42</v>
      </c>
    </row>
    <row r="6" spans="1:37" ht="20.100000000000001" customHeight="1">
      <c r="A6" s="2" t="s">
        <v>20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4">
        <v>18</v>
      </c>
      <c r="AH6" s="4">
        <v>0</v>
      </c>
      <c r="AI6" s="4">
        <f t="shared" si="0"/>
        <v>0</v>
      </c>
      <c r="AJ6" s="5">
        <f t="shared" si="1"/>
        <v>18</v>
      </c>
    </row>
    <row r="7" spans="1:37" ht="20.100000000000001" customHeight="1">
      <c r="A7" s="6" t="s">
        <v>22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8">
        <v>33</v>
      </c>
      <c r="AH7" s="8">
        <v>0</v>
      </c>
      <c r="AI7" s="4">
        <f t="shared" si="0"/>
        <v>0</v>
      </c>
      <c r="AJ7" s="5">
        <f t="shared" si="1"/>
        <v>33</v>
      </c>
    </row>
    <row r="8" spans="1:37" ht="20.100000000000001" customHeight="1">
      <c r="A8" s="2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4">
        <v>0</v>
      </c>
      <c r="AH8" s="4">
        <v>0</v>
      </c>
      <c r="AI8" s="4">
        <f t="shared" si="0"/>
        <v>0</v>
      </c>
      <c r="AJ8" s="5">
        <f t="shared" si="1"/>
        <v>0</v>
      </c>
    </row>
    <row r="9" spans="1:37" ht="20.100000000000001" customHeight="1">
      <c r="A9" s="6" t="s">
        <v>25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8">
        <v>0</v>
      </c>
      <c r="AH9" s="8">
        <v>0</v>
      </c>
      <c r="AI9" s="4">
        <f t="shared" si="0"/>
        <v>0</v>
      </c>
      <c r="AJ9" s="5">
        <f t="shared" si="1"/>
        <v>0</v>
      </c>
    </row>
    <row r="10" spans="1:37" ht="20.100000000000001" customHeight="1">
      <c r="A10" s="2" t="s">
        <v>26</v>
      </c>
      <c r="B10" s="3">
        <v>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4">
        <v>28</v>
      </c>
      <c r="AH10" s="4">
        <v>0</v>
      </c>
      <c r="AI10" s="4">
        <f t="shared" si="0"/>
        <v>7</v>
      </c>
      <c r="AJ10" s="5">
        <f t="shared" si="1"/>
        <v>21</v>
      </c>
    </row>
    <row r="11" spans="1:37" ht="20.100000000000001" customHeight="1">
      <c r="A11" s="6" t="s">
        <v>27</v>
      </c>
      <c r="B11" s="7">
        <v>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8">
        <v>28</v>
      </c>
      <c r="AH11" s="8">
        <v>0</v>
      </c>
      <c r="AI11" s="4">
        <f t="shared" si="0"/>
        <v>4</v>
      </c>
      <c r="AJ11" s="5">
        <f t="shared" si="1"/>
        <v>24</v>
      </c>
    </row>
    <row r="12" spans="1:37" ht="20.100000000000001" customHeight="1">
      <c r="A12" s="2" t="s">
        <v>28</v>
      </c>
      <c r="B12" s="3">
        <v>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4">
        <v>14</v>
      </c>
      <c r="AH12" s="4">
        <v>0</v>
      </c>
      <c r="AI12" s="4">
        <f t="shared" si="0"/>
        <v>6</v>
      </c>
      <c r="AJ12" s="5">
        <f t="shared" si="1"/>
        <v>8</v>
      </c>
    </row>
    <row r="13" spans="1:37" ht="20.100000000000001" customHeight="1">
      <c r="A13" s="6" t="s">
        <v>29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8">
        <v>16</v>
      </c>
      <c r="AH13" s="8">
        <v>0</v>
      </c>
      <c r="AI13" s="4">
        <f t="shared" si="0"/>
        <v>0</v>
      </c>
      <c r="AJ13" s="5">
        <f t="shared" si="1"/>
        <v>16</v>
      </c>
    </row>
    <row r="14" spans="1:37" ht="20.100000000000001" customHeight="1">
      <c r="A14" s="2" t="s">
        <v>30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4">
        <v>8</v>
      </c>
      <c r="AH14" s="4">
        <v>0</v>
      </c>
      <c r="AI14" s="4">
        <f t="shared" si="0"/>
        <v>0</v>
      </c>
      <c r="AJ14" s="5">
        <f t="shared" si="1"/>
        <v>8</v>
      </c>
    </row>
    <row r="15" spans="1:37" ht="20.100000000000001" customHeight="1">
      <c r="A15" s="6" t="s">
        <v>32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8">
        <v>11</v>
      </c>
      <c r="AH15" s="8">
        <v>0</v>
      </c>
      <c r="AI15" s="4">
        <f t="shared" si="0"/>
        <v>0</v>
      </c>
      <c r="AJ15" s="5">
        <f t="shared" si="1"/>
        <v>11</v>
      </c>
    </row>
    <row r="16" spans="1:37" ht="20.100000000000001" customHeight="1">
      <c r="A16" s="2" t="s">
        <v>33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4">
        <v>0</v>
      </c>
      <c r="AH16" s="4">
        <v>0</v>
      </c>
      <c r="AI16" s="4">
        <f t="shared" si="0"/>
        <v>0</v>
      </c>
      <c r="AJ16" s="5">
        <f t="shared" si="1"/>
        <v>0</v>
      </c>
    </row>
    <row r="17" spans="1:36" ht="20.100000000000001" customHeight="1">
      <c r="A17" s="6" t="s">
        <v>34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8">
        <v>9</v>
      </c>
      <c r="AH17" s="8">
        <v>0</v>
      </c>
      <c r="AI17" s="4">
        <f t="shared" si="0"/>
        <v>0</v>
      </c>
      <c r="AJ17" s="5">
        <f t="shared" si="1"/>
        <v>9</v>
      </c>
    </row>
    <row r="18" spans="1:36" ht="20.100000000000001" customHeight="1">
      <c r="A18" s="2" t="s">
        <v>35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4">
        <v>12</v>
      </c>
      <c r="AH18" s="4">
        <v>0</v>
      </c>
      <c r="AI18" s="4">
        <f t="shared" si="0"/>
        <v>0</v>
      </c>
      <c r="AJ18" s="5">
        <f t="shared" si="1"/>
        <v>12</v>
      </c>
    </row>
    <row r="19" spans="1:36" ht="20.100000000000001" customHeight="1">
      <c r="A19" s="6" t="s">
        <v>36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8">
        <v>6</v>
      </c>
      <c r="AH19" s="8">
        <v>0</v>
      </c>
      <c r="AI19" s="4">
        <f t="shared" si="0"/>
        <v>0</v>
      </c>
      <c r="AJ19" s="5">
        <f t="shared" si="1"/>
        <v>6</v>
      </c>
    </row>
    <row r="20" spans="1:36" ht="20.100000000000001" customHeight="1">
      <c r="A20" s="2" t="s">
        <v>37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4">
        <v>12</v>
      </c>
      <c r="AH20" s="4">
        <v>0</v>
      </c>
      <c r="AI20" s="4">
        <f t="shared" si="0"/>
        <v>0</v>
      </c>
      <c r="AJ20" s="5">
        <f t="shared" si="1"/>
        <v>12</v>
      </c>
    </row>
    <row r="21" spans="1:36" ht="20.100000000000001" customHeight="1">
      <c r="A21" s="6" t="s">
        <v>38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8">
        <v>11</v>
      </c>
      <c r="AH21" s="8">
        <v>0</v>
      </c>
      <c r="AI21" s="4">
        <f t="shared" si="0"/>
        <v>0</v>
      </c>
      <c r="AJ21" s="5">
        <f t="shared" si="1"/>
        <v>11</v>
      </c>
    </row>
    <row r="22" spans="1:36" ht="20.100000000000001" customHeight="1">
      <c r="A22" s="2" t="s">
        <v>39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4">
        <v>6</v>
      </c>
      <c r="AH22" s="4">
        <v>0</v>
      </c>
      <c r="AI22" s="4">
        <f t="shared" si="0"/>
        <v>0</v>
      </c>
      <c r="AJ22" s="5">
        <f t="shared" si="1"/>
        <v>6</v>
      </c>
    </row>
    <row r="23" spans="1:36" ht="20.100000000000001" customHeight="1">
      <c r="A23" s="6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8">
        <v>11</v>
      </c>
      <c r="AH23" s="8">
        <v>0</v>
      </c>
      <c r="AI23" s="4">
        <f t="shared" si="0"/>
        <v>0</v>
      </c>
      <c r="AJ23" s="5">
        <f t="shared" si="1"/>
        <v>11</v>
      </c>
    </row>
    <row r="24" spans="1:36" ht="18.75" customHeight="1">
      <c r="A24" s="2" t="s">
        <v>41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4">
        <v>0</v>
      </c>
      <c r="AH24" s="4">
        <v>0</v>
      </c>
      <c r="AI24" s="4">
        <f t="shared" si="0"/>
        <v>0</v>
      </c>
      <c r="AJ24" s="5">
        <f t="shared" si="1"/>
        <v>0</v>
      </c>
    </row>
    <row r="25" spans="1:36" ht="18.75" customHeight="1">
      <c r="A25" s="2" t="s">
        <v>203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4">
        <v>9</v>
      </c>
      <c r="AH25" s="4">
        <v>0</v>
      </c>
      <c r="AI25" s="4">
        <f t="shared" si="0"/>
        <v>0</v>
      </c>
      <c r="AJ25" s="5">
        <f t="shared" si="1"/>
        <v>9</v>
      </c>
    </row>
    <row r="26" spans="1:36" ht="18.75" customHeight="1">
      <c r="A26" s="2" t="s">
        <v>204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4">
        <v>12</v>
      </c>
      <c r="AH26" s="4">
        <v>0</v>
      </c>
      <c r="AI26" s="4">
        <f t="shared" si="0"/>
        <v>0</v>
      </c>
      <c r="AJ26" s="5">
        <f t="shared" si="1"/>
        <v>12</v>
      </c>
    </row>
    <row r="27" spans="1:36" ht="18.75" customHeight="1">
      <c r="A27" s="2" t="s">
        <v>205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4">
        <v>7</v>
      </c>
      <c r="AH27" s="4">
        <v>0</v>
      </c>
      <c r="AI27" s="4">
        <f t="shared" si="0"/>
        <v>0</v>
      </c>
      <c r="AJ27" s="5">
        <f t="shared" si="1"/>
        <v>7</v>
      </c>
    </row>
    <row r="28" spans="1:36" ht="20.100000000000001" customHeight="1">
      <c r="A28" s="6" t="s">
        <v>42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8">
        <v>8</v>
      </c>
      <c r="AH28" s="8">
        <v>0</v>
      </c>
      <c r="AI28" s="4">
        <f t="shared" si="0"/>
        <v>0</v>
      </c>
      <c r="AJ28" s="5">
        <f t="shared" si="1"/>
        <v>8</v>
      </c>
    </row>
    <row r="29" spans="1:36" ht="20.100000000000001" customHeight="1">
      <c r="A29" s="2" t="s">
        <v>44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4">
        <v>10</v>
      </c>
      <c r="AH29" s="4">
        <v>0</v>
      </c>
      <c r="AI29" s="4">
        <f t="shared" si="0"/>
        <v>0</v>
      </c>
      <c r="AJ29" s="5">
        <f t="shared" si="1"/>
        <v>10</v>
      </c>
    </row>
    <row r="30" spans="1:36" ht="20.100000000000001" customHeight="1">
      <c r="A30" s="6" t="s">
        <v>46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8">
        <v>0</v>
      </c>
      <c r="AH30" s="8">
        <v>0</v>
      </c>
      <c r="AI30" s="4">
        <f t="shared" si="0"/>
        <v>0</v>
      </c>
      <c r="AJ30" s="5">
        <f t="shared" si="1"/>
        <v>0</v>
      </c>
    </row>
    <row r="31" spans="1:36" ht="20.100000000000001" customHeight="1">
      <c r="A31" s="2" t="s">
        <v>47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4">
        <v>0</v>
      </c>
      <c r="AH31" s="4">
        <v>0</v>
      </c>
      <c r="AI31" s="4">
        <f t="shared" si="0"/>
        <v>0</v>
      </c>
      <c r="AJ31" s="5">
        <f t="shared" si="1"/>
        <v>0</v>
      </c>
    </row>
    <row r="32" spans="1:36" ht="20.100000000000001" customHeight="1">
      <c r="A32" s="6" t="s">
        <v>48</v>
      </c>
      <c r="B32" s="7">
        <v>2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8">
        <v>16</v>
      </c>
      <c r="AH32" s="8">
        <v>0</v>
      </c>
      <c r="AI32" s="4">
        <f t="shared" si="0"/>
        <v>2</v>
      </c>
      <c r="AJ32" s="5">
        <f t="shared" si="1"/>
        <v>14</v>
      </c>
    </row>
    <row r="33" spans="1:36" ht="20.100000000000001" customHeight="1">
      <c r="A33" s="2" t="s">
        <v>49</v>
      </c>
      <c r="B33" s="3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4">
        <v>10</v>
      </c>
      <c r="AH33" s="4">
        <v>0</v>
      </c>
      <c r="AI33" s="4">
        <f t="shared" si="0"/>
        <v>1</v>
      </c>
      <c r="AJ33" s="5">
        <f t="shared" si="1"/>
        <v>9</v>
      </c>
    </row>
    <row r="34" spans="1:36" ht="20.100000000000001" customHeight="1">
      <c r="A34" s="6" t="s">
        <v>50</v>
      </c>
      <c r="B34" s="7">
        <v>1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8">
        <v>8</v>
      </c>
      <c r="AH34" s="8">
        <v>0</v>
      </c>
      <c r="AI34" s="4">
        <f t="shared" si="0"/>
        <v>1</v>
      </c>
      <c r="AJ34" s="5">
        <f t="shared" si="1"/>
        <v>7</v>
      </c>
    </row>
    <row r="35" spans="1:36" ht="20.100000000000001" customHeight="1">
      <c r="A35" s="2" t="s">
        <v>51</v>
      </c>
      <c r="B35" s="3">
        <v>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4">
        <v>10</v>
      </c>
      <c r="AH35" s="4">
        <v>0</v>
      </c>
      <c r="AI35" s="4">
        <f t="shared" si="0"/>
        <v>1</v>
      </c>
      <c r="AJ35" s="5">
        <f t="shared" si="1"/>
        <v>9</v>
      </c>
    </row>
    <row r="36" spans="1:36" ht="20.100000000000001" customHeight="1">
      <c r="A36" s="6" t="s">
        <v>52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8">
        <v>0</v>
      </c>
      <c r="AH36" s="8">
        <v>0</v>
      </c>
      <c r="AI36" s="4">
        <f t="shared" si="0"/>
        <v>0</v>
      </c>
      <c r="AJ36" s="5">
        <f t="shared" ref="AJ36:AJ67" si="2">AG36+AH36-AI36</f>
        <v>0</v>
      </c>
    </row>
    <row r="37" spans="1:36" ht="20.100000000000001" customHeight="1">
      <c r="A37" s="2" t="s">
        <v>53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4">
        <v>0</v>
      </c>
      <c r="AH37" s="4">
        <v>0</v>
      </c>
      <c r="AI37" s="4">
        <f t="shared" si="0"/>
        <v>0</v>
      </c>
      <c r="AJ37" s="5">
        <f t="shared" si="2"/>
        <v>0</v>
      </c>
    </row>
    <row r="38" spans="1:36" ht="20.100000000000001" customHeight="1">
      <c r="A38" s="6" t="s">
        <v>54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8">
        <v>0</v>
      </c>
      <c r="AH38" s="8">
        <v>0</v>
      </c>
      <c r="AI38" s="4">
        <f t="shared" si="0"/>
        <v>0</v>
      </c>
      <c r="AJ38" s="5">
        <f t="shared" si="2"/>
        <v>0</v>
      </c>
    </row>
    <row r="39" spans="1:36" ht="20.100000000000001" customHeight="1">
      <c r="A39" s="2" t="s">
        <v>55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18</v>
      </c>
      <c r="AH39" s="4">
        <v>36</v>
      </c>
      <c r="AI39" s="4">
        <v>41</v>
      </c>
      <c r="AJ39" s="5">
        <f t="shared" si="2"/>
        <v>13</v>
      </c>
    </row>
    <row r="40" spans="1:36" ht="20.100000000000001" customHeight="1">
      <c r="A40" s="6" t="s">
        <v>56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8">
        <v>24</v>
      </c>
      <c r="AH40" s="8">
        <v>0</v>
      </c>
      <c r="AI40" s="4">
        <f t="shared" ref="AI40:AI71" si="3">SUM(B40:AF40)</f>
        <v>0</v>
      </c>
      <c r="AJ40" s="5">
        <f t="shared" si="2"/>
        <v>24</v>
      </c>
    </row>
    <row r="41" spans="1:36" ht="20.100000000000001" customHeight="1">
      <c r="A41" s="2" t="s">
        <v>57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4">
        <v>15</v>
      </c>
      <c r="AH41" s="4">
        <v>0</v>
      </c>
      <c r="AI41" s="4">
        <f t="shared" si="3"/>
        <v>0</v>
      </c>
      <c r="AJ41" s="5">
        <f t="shared" si="2"/>
        <v>15</v>
      </c>
    </row>
    <row r="42" spans="1:36" ht="20.100000000000001" customHeight="1">
      <c r="A42" s="6" t="s">
        <v>58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8">
        <v>0</v>
      </c>
      <c r="AH42" s="8">
        <v>0</v>
      </c>
      <c r="AI42" s="4">
        <f t="shared" si="3"/>
        <v>0</v>
      </c>
      <c r="AJ42" s="5">
        <f t="shared" si="2"/>
        <v>0</v>
      </c>
    </row>
    <row r="43" spans="1:36" ht="20.100000000000001" customHeight="1">
      <c r="A43" s="2" t="s">
        <v>59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4">
        <v>0</v>
      </c>
      <c r="AH43" s="4">
        <v>0</v>
      </c>
      <c r="AI43" s="4">
        <f t="shared" si="3"/>
        <v>0</v>
      </c>
      <c r="AJ43" s="5">
        <f t="shared" si="2"/>
        <v>0</v>
      </c>
    </row>
    <row r="44" spans="1:36" ht="20.100000000000001" customHeight="1">
      <c r="A44" s="6" t="s">
        <v>60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8">
        <v>11</v>
      </c>
      <c r="AH44" s="8">
        <v>0</v>
      </c>
      <c r="AI44" s="4">
        <f t="shared" si="3"/>
        <v>0</v>
      </c>
      <c r="AJ44" s="5">
        <f t="shared" si="2"/>
        <v>11</v>
      </c>
    </row>
    <row r="45" spans="1:36" ht="20.100000000000001" customHeight="1">
      <c r="A45" s="2" t="s">
        <v>61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4">
        <v>8</v>
      </c>
      <c r="AH45" s="4">
        <v>0</v>
      </c>
      <c r="AI45" s="4">
        <f t="shared" si="3"/>
        <v>0</v>
      </c>
      <c r="AJ45" s="5">
        <f t="shared" si="2"/>
        <v>8</v>
      </c>
    </row>
    <row r="46" spans="1:36" ht="20.100000000000001" customHeight="1">
      <c r="A46" s="6" t="s">
        <v>62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8">
        <v>8</v>
      </c>
      <c r="AH46" s="8">
        <v>0</v>
      </c>
      <c r="AI46" s="4">
        <f t="shared" si="3"/>
        <v>0</v>
      </c>
      <c r="AJ46" s="5">
        <f t="shared" si="2"/>
        <v>8</v>
      </c>
    </row>
    <row r="47" spans="1:36" ht="20.100000000000001" customHeight="1">
      <c r="A47" s="2" t="s">
        <v>63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4">
        <v>0</v>
      </c>
      <c r="AH47" s="4">
        <v>0</v>
      </c>
      <c r="AI47" s="4">
        <f t="shared" si="3"/>
        <v>0</v>
      </c>
      <c r="AJ47" s="5">
        <f t="shared" si="2"/>
        <v>0</v>
      </c>
    </row>
    <row r="48" spans="1:36" ht="20.100000000000001" customHeight="1">
      <c r="A48" s="6" t="s">
        <v>64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8">
        <v>17</v>
      </c>
      <c r="AH48" s="8">
        <v>0</v>
      </c>
      <c r="AI48" s="4">
        <f t="shared" si="3"/>
        <v>0</v>
      </c>
      <c r="AJ48" s="5">
        <f t="shared" si="2"/>
        <v>17</v>
      </c>
    </row>
    <row r="49" spans="1:36" ht="20.100000000000001" customHeight="1">
      <c r="A49" s="2" t="s">
        <v>65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4">
        <v>8</v>
      </c>
      <c r="AH49" s="4">
        <v>0</v>
      </c>
      <c r="AI49" s="4">
        <f t="shared" si="3"/>
        <v>0</v>
      </c>
      <c r="AJ49" s="5">
        <f t="shared" si="2"/>
        <v>8</v>
      </c>
    </row>
    <row r="50" spans="1:36" ht="20.100000000000001" customHeight="1">
      <c r="A50" s="6" t="s">
        <v>66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8">
        <v>9</v>
      </c>
      <c r="AH50" s="8">
        <v>0</v>
      </c>
      <c r="AI50" s="4">
        <f t="shared" si="3"/>
        <v>0</v>
      </c>
      <c r="AJ50" s="5">
        <f t="shared" si="2"/>
        <v>9</v>
      </c>
    </row>
    <row r="51" spans="1:36" ht="20.100000000000001" customHeight="1">
      <c r="A51" s="2" t="s">
        <v>67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4">
        <v>5</v>
      </c>
      <c r="AH51" s="4">
        <v>0</v>
      </c>
      <c r="AI51" s="4">
        <f t="shared" si="3"/>
        <v>0</v>
      </c>
      <c r="AJ51" s="5">
        <f t="shared" si="2"/>
        <v>5</v>
      </c>
    </row>
    <row r="52" spans="1:36" ht="20.100000000000001" customHeight="1">
      <c r="A52" s="6" t="s">
        <v>68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8">
        <v>0</v>
      </c>
      <c r="AH52" s="8">
        <v>0</v>
      </c>
      <c r="AI52" s="4">
        <f t="shared" si="3"/>
        <v>0</v>
      </c>
      <c r="AJ52" s="5">
        <f t="shared" si="2"/>
        <v>0</v>
      </c>
    </row>
    <row r="53" spans="1:36" ht="20.100000000000001" customHeight="1">
      <c r="A53" s="2" t="s">
        <v>70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4">
        <v>0</v>
      </c>
      <c r="AH53" s="4">
        <v>0</v>
      </c>
      <c r="AI53" s="4">
        <f t="shared" si="3"/>
        <v>0</v>
      </c>
      <c r="AJ53" s="5">
        <f t="shared" si="2"/>
        <v>0</v>
      </c>
    </row>
    <row r="54" spans="1:36" ht="20.100000000000001" customHeight="1">
      <c r="A54" s="6" t="s">
        <v>71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8">
        <v>0</v>
      </c>
      <c r="AH54" s="8">
        <v>0</v>
      </c>
      <c r="AI54" s="4">
        <f t="shared" si="3"/>
        <v>0</v>
      </c>
      <c r="AJ54" s="5">
        <f t="shared" si="2"/>
        <v>0</v>
      </c>
    </row>
    <row r="55" spans="1:36" ht="20.100000000000001" customHeight="1">
      <c r="A55" s="2" t="s">
        <v>75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4">
        <v>2</v>
      </c>
      <c r="AH55" s="4">
        <v>0</v>
      </c>
      <c r="AI55" s="4">
        <f t="shared" si="3"/>
        <v>0</v>
      </c>
      <c r="AJ55" s="5">
        <f t="shared" si="2"/>
        <v>2</v>
      </c>
    </row>
    <row r="56" spans="1:36" ht="20.100000000000001" customHeight="1">
      <c r="A56" s="6" t="s">
        <v>76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8">
        <v>9</v>
      </c>
      <c r="AH56" s="8">
        <v>0</v>
      </c>
      <c r="AI56" s="4">
        <f t="shared" si="3"/>
        <v>0</v>
      </c>
      <c r="AJ56" s="5">
        <f t="shared" si="2"/>
        <v>9</v>
      </c>
    </row>
    <row r="57" spans="1:36" ht="20.100000000000001" customHeight="1">
      <c r="A57" s="2" t="s">
        <v>77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4">
        <v>0</v>
      </c>
      <c r="AH57" s="4">
        <v>0</v>
      </c>
      <c r="AI57" s="4">
        <f t="shared" si="3"/>
        <v>0</v>
      </c>
      <c r="AJ57" s="5">
        <f t="shared" si="2"/>
        <v>0</v>
      </c>
    </row>
    <row r="58" spans="1:36" ht="20.100000000000001" customHeight="1">
      <c r="A58" s="6" t="s">
        <v>78</v>
      </c>
      <c r="B58" s="7">
        <v>5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8">
        <v>13</v>
      </c>
      <c r="AH58" s="8">
        <v>0</v>
      </c>
      <c r="AI58" s="4">
        <f t="shared" si="3"/>
        <v>5</v>
      </c>
      <c r="AJ58" s="5">
        <f t="shared" si="2"/>
        <v>8</v>
      </c>
    </row>
    <row r="59" spans="1:36" ht="20.100000000000001" customHeight="1">
      <c r="A59" s="2" t="s">
        <v>79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4">
        <v>19</v>
      </c>
      <c r="AH59" s="4">
        <v>0</v>
      </c>
      <c r="AI59" s="4">
        <f t="shared" si="3"/>
        <v>0</v>
      </c>
      <c r="AJ59" s="5">
        <f t="shared" si="2"/>
        <v>19</v>
      </c>
    </row>
    <row r="60" spans="1:36" ht="20.100000000000001" customHeight="1">
      <c r="A60" s="6" t="s">
        <v>80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8">
        <v>5</v>
      </c>
      <c r="AH60" s="8">
        <v>0</v>
      </c>
      <c r="AI60" s="4">
        <f t="shared" si="3"/>
        <v>0</v>
      </c>
      <c r="AJ60" s="5">
        <f t="shared" si="2"/>
        <v>5</v>
      </c>
    </row>
    <row r="61" spans="1:36" ht="20.100000000000001" customHeight="1">
      <c r="A61" s="6" t="s">
        <v>206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8">
        <v>9</v>
      </c>
      <c r="AH61" s="8">
        <v>0</v>
      </c>
      <c r="AI61" s="4">
        <f t="shared" si="3"/>
        <v>0</v>
      </c>
      <c r="AJ61" s="5">
        <f t="shared" si="2"/>
        <v>9</v>
      </c>
    </row>
    <row r="62" spans="1:36" ht="20.100000000000001" customHeight="1">
      <c r="A62" s="2" t="s">
        <v>82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4">
        <v>3</v>
      </c>
      <c r="AH62" s="4">
        <v>0</v>
      </c>
      <c r="AI62" s="4">
        <f t="shared" si="3"/>
        <v>0</v>
      </c>
      <c r="AJ62" s="5">
        <f t="shared" si="2"/>
        <v>3</v>
      </c>
    </row>
    <row r="63" spans="1:36" ht="20.100000000000001" customHeight="1">
      <c r="A63" s="6" t="s">
        <v>83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8">
        <v>8</v>
      </c>
      <c r="AH63" s="8">
        <v>0</v>
      </c>
      <c r="AI63" s="4">
        <f t="shared" si="3"/>
        <v>0</v>
      </c>
      <c r="AJ63" s="5">
        <f t="shared" si="2"/>
        <v>8</v>
      </c>
    </row>
    <row r="64" spans="1:36" ht="20.100000000000001" customHeight="1">
      <c r="A64" s="2" t="s">
        <v>84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4">
        <v>15</v>
      </c>
      <c r="AH64" s="4">
        <v>0</v>
      </c>
      <c r="AI64" s="4">
        <f t="shared" si="3"/>
        <v>0</v>
      </c>
      <c r="AJ64" s="5">
        <f t="shared" si="2"/>
        <v>15</v>
      </c>
    </row>
    <row r="65" spans="1:36" ht="20.100000000000001" customHeight="1">
      <c r="A65" s="2" t="s">
        <v>108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4">
        <v>12</v>
      </c>
      <c r="AH65" s="4">
        <v>0</v>
      </c>
      <c r="AI65" s="4">
        <f t="shared" si="3"/>
        <v>0</v>
      </c>
      <c r="AJ65" s="5">
        <f t="shared" si="2"/>
        <v>12</v>
      </c>
    </row>
    <row r="66" spans="1:36" ht="20.100000000000001" customHeight="1">
      <c r="A66" s="6" t="s">
        <v>111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8">
        <v>12</v>
      </c>
      <c r="AH66" s="8">
        <v>0</v>
      </c>
      <c r="AI66" s="4">
        <f t="shared" si="3"/>
        <v>0</v>
      </c>
      <c r="AJ66" s="5">
        <f t="shared" si="2"/>
        <v>12</v>
      </c>
    </row>
    <row r="67" spans="1:36" ht="20.100000000000001" customHeight="1">
      <c r="A67" s="2" t="s">
        <v>113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4">
        <v>11</v>
      </c>
      <c r="AH67" s="4">
        <v>0</v>
      </c>
      <c r="AI67" s="4">
        <f t="shared" si="3"/>
        <v>0</v>
      </c>
      <c r="AJ67" s="5">
        <f t="shared" si="2"/>
        <v>11</v>
      </c>
    </row>
    <row r="68" spans="1:36" ht="20.100000000000001" customHeight="1">
      <c r="A68" s="6" t="s">
        <v>114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8">
        <v>0</v>
      </c>
      <c r="AH68" s="8">
        <v>0</v>
      </c>
      <c r="AI68" s="4">
        <f t="shared" si="3"/>
        <v>0</v>
      </c>
      <c r="AJ68" s="5">
        <f t="shared" ref="AJ68:AJ111" si="4">AG68+AH68-AI68</f>
        <v>0</v>
      </c>
    </row>
    <row r="69" spans="1:36" ht="20.100000000000001" customHeight="1">
      <c r="A69" s="6" t="s">
        <v>207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8">
        <v>10</v>
      </c>
      <c r="AH69" s="8">
        <v>0</v>
      </c>
      <c r="AI69" s="4">
        <f t="shared" si="3"/>
        <v>0</v>
      </c>
      <c r="AJ69" s="5">
        <f t="shared" si="4"/>
        <v>10</v>
      </c>
    </row>
    <row r="70" spans="1:36" ht="20.100000000000001" customHeight="1">
      <c r="A70" s="6" t="s">
        <v>117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8">
        <v>12</v>
      </c>
      <c r="AH70" s="8">
        <v>0</v>
      </c>
      <c r="AI70" s="4">
        <f t="shared" si="3"/>
        <v>0</v>
      </c>
      <c r="AJ70" s="5">
        <f t="shared" si="4"/>
        <v>12</v>
      </c>
    </row>
    <row r="71" spans="1:36" ht="20.100000000000001" customHeight="1">
      <c r="A71" s="2" t="s">
        <v>119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4">
        <v>12</v>
      </c>
      <c r="AH71" s="4">
        <v>0</v>
      </c>
      <c r="AI71" s="4">
        <f t="shared" si="3"/>
        <v>0</v>
      </c>
      <c r="AJ71" s="5">
        <f t="shared" si="4"/>
        <v>12</v>
      </c>
    </row>
    <row r="72" spans="1:36" ht="20.100000000000001" customHeight="1">
      <c r="A72" s="6" t="s">
        <v>121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8">
        <v>0</v>
      </c>
      <c r="AH72" s="8">
        <v>0</v>
      </c>
      <c r="AI72" s="4">
        <f t="shared" ref="AI72:AI103" si="5">SUM(B72:AF72)</f>
        <v>0</v>
      </c>
      <c r="AJ72" s="5">
        <f t="shared" si="4"/>
        <v>0</v>
      </c>
    </row>
    <row r="73" spans="1:36" ht="20.100000000000001" customHeight="1">
      <c r="A73" s="2" t="s">
        <v>122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4">
        <v>13</v>
      </c>
      <c r="AH73" s="4">
        <v>0</v>
      </c>
      <c r="AI73" s="4">
        <f t="shared" si="5"/>
        <v>0</v>
      </c>
      <c r="AJ73" s="5">
        <f t="shared" si="4"/>
        <v>13</v>
      </c>
    </row>
    <row r="74" spans="1:36" ht="20.100000000000001" customHeight="1">
      <c r="A74" s="6" t="s">
        <v>124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8">
        <v>9</v>
      </c>
      <c r="AH74" s="8">
        <v>0</v>
      </c>
      <c r="AI74" s="4">
        <f t="shared" si="5"/>
        <v>0</v>
      </c>
      <c r="AJ74" s="5">
        <f t="shared" si="4"/>
        <v>9</v>
      </c>
    </row>
    <row r="75" spans="1:36" ht="20.100000000000001" customHeight="1">
      <c r="A75" s="6" t="s">
        <v>127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8">
        <v>4</v>
      </c>
      <c r="AH75" s="8">
        <v>0</v>
      </c>
      <c r="AI75" s="4">
        <f t="shared" si="5"/>
        <v>0</v>
      </c>
      <c r="AJ75" s="5">
        <f t="shared" si="4"/>
        <v>4</v>
      </c>
    </row>
    <row r="76" spans="1:36" ht="20.100000000000001" customHeight="1">
      <c r="A76" s="2" t="s">
        <v>129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4">
        <v>17</v>
      </c>
      <c r="AH76" s="4">
        <v>0</v>
      </c>
      <c r="AI76" s="4">
        <f t="shared" si="5"/>
        <v>0</v>
      </c>
      <c r="AJ76" s="5">
        <f t="shared" si="4"/>
        <v>17</v>
      </c>
    </row>
    <row r="77" spans="1:36" ht="20.100000000000001" customHeight="1">
      <c r="A77" s="6" t="s">
        <v>130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8">
        <v>0</v>
      </c>
      <c r="AH77" s="8">
        <v>0</v>
      </c>
      <c r="AI77" s="4">
        <f t="shared" si="5"/>
        <v>0</v>
      </c>
      <c r="AJ77" s="5">
        <f t="shared" si="4"/>
        <v>0</v>
      </c>
    </row>
    <row r="78" spans="1:36" ht="20.100000000000001" customHeight="1">
      <c r="A78" s="2" t="s">
        <v>131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4">
        <v>3</v>
      </c>
      <c r="AH78" s="4">
        <v>0</v>
      </c>
      <c r="AI78" s="4">
        <f t="shared" si="5"/>
        <v>0</v>
      </c>
      <c r="AJ78" s="5">
        <f t="shared" si="4"/>
        <v>3</v>
      </c>
    </row>
    <row r="79" spans="1:36" ht="20.100000000000001" customHeight="1">
      <c r="A79" s="6" t="s">
        <v>132</v>
      </c>
      <c r="B79" s="7">
        <v>2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8">
        <v>23</v>
      </c>
      <c r="AH79" s="8">
        <v>0</v>
      </c>
      <c r="AI79" s="4">
        <f t="shared" si="5"/>
        <v>2</v>
      </c>
      <c r="AJ79" s="5">
        <f t="shared" si="4"/>
        <v>21</v>
      </c>
    </row>
    <row r="80" spans="1:36" ht="20.100000000000001" customHeight="1">
      <c r="A80" s="2" t="s">
        <v>133</v>
      </c>
      <c r="B80" s="3">
        <v>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4">
        <v>16</v>
      </c>
      <c r="AH80" s="4">
        <v>0</v>
      </c>
      <c r="AI80" s="4">
        <f t="shared" si="5"/>
        <v>1</v>
      </c>
      <c r="AJ80" s="5">
        <f t="shared" si="4"/>
        <v>15</v>
      </c>
    </row>
    <row r="81" spans="1:36" ht="20.100000000000001" customHeight="1">
      <c r="A81" s="2" t="s">
        <v>208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4">
        <v>5</v>
      </c>
      <c r="AH81" s="4">
        <v>0</v>
      </c>
      <c r="AI81" s="4">
        <f t="shared" si="5"/>
        <v>0</v>
      </c>
      <c r="AJ81" s="5">
        <f t="shared" si="4"/>
        <v>5</v>
      </c>
    </row>
    <row r="82" spans="1:36" ht="20.100000000000001" customHeight="1">
      <c r="A82" s="6" t="s">
        <v>134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8">
        <v>0</v>
      </c>
      <c r="AH82" s="8">
        <v>0</v>
      </c>
      <c r="AI82" s="4">
        <f t="shared" si="5"/>
        <v>0</v>
      </c>
      <c r="AJ82" s="5">
        <f t="shared" si="4"/>
        <v>0</v>
      </c>
    </row>
    <row r="83" spans="1:36" ht="20.100000000000001" customHeight="1">
      <c r="A83" s="2" t="s">
        <v>139</v>
      </c>
      <c r="B83" s="3">
        <v>1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4">
        <v>36</v>
      </c>
      <c r="AH83" s="4">
        <v>0</v>
      </c>
      <c r="AI83" s="4">
        <f t="shared" si="5"/>
        <v>1</v>
      </c>
      <c r="AJ83" s="5">
        <f t="shared" si="4"/>
        <v>35</v>
      </c>
    </row>
    <row r="84" spans="1:36" ht="20.100000000000001" customHeight="1">
      <c r="A84" s="2" t="s">
        <v>141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4">
        <v>0</v>
      </c>
      <c r="AH84" s="4">
        <v>0</v>
      </c>
      <c r="AI84" s="4">
        <f t="shared" si="5"/>
        <v>0</v>
      </c>
      <c r="AJ84" s="5">
        <f t="shared" si="4"/>
        <v>0</v>
      </c>
    </row>
    <row r="85" spans="1:36" ht="20.100000000000001" customHeight="1">
      <c r="A85" s="6" t="s">
        <v>142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8">
        <v>0</v>
      </c>
      <c r="AH85" s="8">
        <v>0</v>
      </c>
      <c r="AI85" s="4">
        <f t="shared" si="5"/>
        <v>0</v>
      </c>
      <c r="AJ85" s="5">
        <f t="shared" si="4"/>
        <v>0</v>
      </c>
    </row>
    <row r="86" spans="1:36" ht="20.100000000000001" customHeight="1">
      <c r="A86" s="2" t="s">
        <v>143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4">
        <v>0</v>
      </c>
      <c r="AH86" s="4">
        <v>0</v>
      </c>
      <c r="AI86" s="4">
        <f t="shared" si="5"/>
        <v>0</v>
      </c>
      <c r="AJ86" s="5">
        <f t="shared" si="4"/>
        <v>0</v>
      </c>
    </row>
    <row r="87" spans="1:36" ht="20.100000000000001" customHeight="1">
      <c r="A87" s="6" t="s">
        <v>148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8">
        <v>5</v>
      </c>
      <c r="AH87" s="8">
        <v>0</v>
      </c>
      <c r="AI87" s="4">
        <f t="shared" si="5"/>
        <v>0</v>
      </c>
      <c r="AJ87" s="5">
        <f t="shared" si="4"/>
        <v>5</v>
      </c>
    </row>
    <row r="88" spans="1:36" ht="20.100000000000001" customHeight="1">
      <c r="A88" s="2" t="s">
        <v>149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4">
        <v>2</v>
      </c>
      <c r="AH88" s="4">
        <v>0</v>
      </c>
      <c r="AI88" s="4">
        <f t="shared" si="5"/>
        <v>0</v>
      </c>
      <c r="AJ88" s="5">
        <f t="shared" si="4"/>
        <v>2</v>
      </c>
    </row>
    <row r="89" spans="1:36" ht="20.100000000000001" customHeight="1">
      <c r="A89" s="6" t="s">
        <v>150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8">
        <v>1</v>
      </c>
      <c r="AH89" s="8">
        <v>0</v>
      </c>
      <c r="AI89" s="4">
        <f t="shared" si="5"/>
        <v>0</v>
      </c>
      <c r="AJ89" s="5">
        <f t="shared" si="4"/>
        <v>1</v>
      </c>
    </row>
    <row r="90" spans="1:36" ht="20.100000000000001" customHeight="1">
      <c r="A90" s="6" t="s">
        <v>209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8">
        <v>4</v>
      </c>
      <c r="AH90" s="8">
        <v>0</v>
      </c>
      <c r="AI90" s="4">
        <f t="shared" si="5"/>
        <v>0</v>
      </c>
      <c r="AJ90" s="5">
        <f t="shared" si="4"/>
        <v>4</v>
      </c>
    </row>
    <row r="91" spans="1:36" ht="20.100000000000001" customHeight="1">
      <c r="A91" s="6" t="s">
        <v>157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8">
        <v>0</v>
      </c>
      <c r="AH91" s="8">
        <v>0</v>
      </c>
      <c r="AI91" s="4">
        <f t="shared" si="5"/>
        <v>0</v>
      </c>
      <c r="AJ91" s="5">
        <f t="shared" si="4"/>
        <v>0</v>
      </c>
    </row>
    <row r="92" spans="1:36" ht="18.75" customHeight="1">
      <c r="A92" s="9" t="s">
        <v>210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2">
        <v>2</v>
      </c>
      <c r="AH92" s="12">
        <v>0</v>
      </c>
      <c r="AI92" s="4">
        <f t="shared" si="5"/>
        <v>0</v>
      </c>
      <c r="AJ92" s="5">
        <f t="shared" si="4"/>
        <v>2</v>
      </c>
    </row>
    <row r="93" spans="1:36" ht="18.75" customHeight="1">
      <c r="A93" s="11" t="s">
        <v>211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2">
        <v>6</v>
      </c>
      <c r="AH93" s="12">
        <v>0</v>
      </c>
      <c r="AI93" s="4">
        <f t="shared" si="5"/>
        <v>0</v>
      </c>
      <c r="AJ93" s="5">
        <f t="shared" si="4"/>
        <v>6</v>
      </c>
    </row>
    <row r="94" spans="1:36" ht="18.75" customHeight="1">
      <c r="A94" s="11" t="s">
        <v>212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2">
        <v>6</v>
      </c>
      <c r="AH94" s="12">
        <v>0</v>
      </c>
      <c r="AI94" s="4">
        <f t="shared" si="5"/>
        <v>0</v>
      </c>
      <c r="AJ94" s="5">
        <f t="shared" si="4"/>
        <v>6</v>
      </c>
    </row>
    <row r="95" spans="1:36" ht="18.75" customHeight="1">
      <c r="A95" s="11" t="s">
        <v>213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2">
        <v>6</v>
      </c>
      <c r="AH95" s="12">
        <v>0</v>
      </c>
      <c r="AI95" s="4">
        <f t="shared" si="5"/>
        <v>0</v>
      </c>
      <c r="AJ95" s="5">
        <f t="shared" si="4"/>
        <v>6</v>
      </c>
    </row>
    <row r="96" spans="1:36" ht="18.75" customHeight="1">
      <c r="A96" s="11" t="s">
        <v>214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2">
        <v>6</v>
      </c>
      <c r="AH96" s="12">
        <v>0</v>
      </c>
      <c r="AI96" s="4">
        <f t="shared" si="5"/>
        <v>0</v>
      </c>
      <c r="AJ96" s="5">
        <f t="shared" si="4"/>
        <v>6</v>
      </c>
    </row>
    <row r="97" spans="1:36" ht="18.75" customHeight="1">
      <c r="A97" s="11" t="s">
        <v>215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2">
        <v>1</v>
      </c>
      <c r="AH97" s="12">
        <v>0</v>
      </c>
      <c r="AI97" s="4">
        <f t="shared" si="5"/>
        <v>0</v>
      </c>
      <c r="AJ97" s="5">
        <f t="shared" si="4"/>
        <v>1</v>
      </c>
    </row>
    <row r="98" spans="1:36" ht="18.75" customHeight="1">
      <c r="A98" s="11" t="s">
        <v>216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2">
        <v>0</v>
      </c>
      <c r="AH98" s="12">
        <v>0</v>
      </c>
      <c r="AI98" s="4">
        <f t="shared" si="5"/>
        <v>0</v>
      </c>
      <c r="AJ98" s="5">
        <f t="shared" si="4"/>
        <v>0</v>
      </c>
    </row>
    <row r="99" spans="1:36" ht="18.75" customHeight="1">
      <c r="A99" s="11" t="s">
        <v>217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2">
        <v>3</v>
      </c>
      <c r="AH99" s="12">
        <v>0</v>
      </c>
      <c r="AI99" s="4">
        <f t="shared" si="5"/>
        <v>0</v>
      </c>
      <c r="AJ99" s="5">
        <f t="shared" si="4"/>
        <v>3</v>
      </c>
    </row>
    <row r="100" spans="1:36" ht="18.75" customHeight="1">
      <c r="A100" s="11" t="s">
        <v>218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2">
        <v>6</v>
      </c>
      <c r="AH100" s="12">
        <v>0</v>
      </c>
      <c r="AI100" s="4">
        <f t="shared" si="5"/>
        <v>0</v>
      </c>
      <c r="AJ100" s="5">
        <f t="shared" si="4"/>
        <v>6</v>
      </c>
    </row>
    <row r="101" spans="1:36" ht="18.75" customHeight="1">
      <c r="A101" s="11" t="s">
        <v>219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2">
        <v>4</v>
      </c>
      <c r="AH101" s="12">
        <v>0</v>
      </c>
      <c r="AI101" s="4">
        <f t="shared" si="5"/>
        <v>0</v>
      </c>
      <c r="AJ101" s="5">
        <f t="shared" si="4"/>
        <v>4</v>
      </c>
    </row>
    <row r="102" spans="1:36" ht="18.75" customHeight="1">
      <c r="A102" s="11" t="s">
        <v>220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2">
        <v>1</v>
      </c>
      <c r="AH102" s="12">
        <v>0</v>
      </c>
      <c r="AI102" s="4">
        <f t="shared" si="5"/>
        <v>0</v>
      </c>
      <c r="AJ102" s="5">
        <f t="shared" si="4"/>
        <v>1</v>
      </c>
    </row>
    <row r="103" spans="1:36" ht="18.75" customHeight="1">
      <c r="A103" s="11" t="s">
        <v>221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2">
        <v>1</v>
      </c>
      <c r="AH103" s="12">
        <v>0</v>
      </c>
      <c r="AI103" s="4">
        <f t="shared" si="5"/>
        <v>0</v>
      </c>
      <c r="AJ103" s="5">
        <f t="shared" si="4"/>
        <v>1</v>
      </c>
    </row>
    <row r="104" spans="1:36" ht="18.75" customHeight="1">
      <c r="A104" s="11" t="s">
        <v>222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2">
        <v>1</v>
      </c>
      <c r="AH104" s="12">
        <v>0</v>
      </c>
      <c r="AI104" s="4">
        <f t="shared" ref="AI104:AI110" si="6">SUM(B104:AF104)</f>
        <v>0</v>
      </c>
      <c r="AJ104" s="5">
        <f t="shared" si="4"/>
        <v>1</v>
      </c>
    </row>
    <row r="105" spans="1:36" ht="18.75" customHeight="1">
      <c r="A105" s="11" t="s">
        <v>223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2">
        <v>1</v>
      </c>
      <c r="AH105" s="12">
        <v>0</v>
      </c>
      <c r="AI105" s="4">
        <f t="shared" si="6"/>
        <v>0</v>
      </c>
      <c r="AJ105" s="5">
        <f t="shared" si="4"/>
        <v>1</v>
      </c>
    </row>
    <row r="106" spans="1:36" ht="18.75" customHeight="1">
      <c r="A106" s="11" t="s">
        <v>224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2">
        <v>1</v>
      </c>
      <c r="AH106" s="12">
        <v>0</v>
      </c>
      <c r="AI106" s="4">
        <f t="shared" si="6"/>
        <v>0</v>
      </c>
      <c r="AJ106" s="5">
        <f t="shared" si="4"/>
        <v>1</v>
      </c>
    </row>
    <row r="107" spans="1:36" ht="18.75" customHeight="1">
      <c r="A107" s="11" t="s">
        <v>225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2">
        <v>4</v>
      </c>
      <c r="AH107" s="12">
        <v>0</v>
      </c>
      <c r="AI107" s="4">
        <f t="shared" si="6"/>
        <v>0</v>
      </c>
      <c r="AJ107" s="5">
        <f t="shared" si="4"/>
        <v>4</v>
      </c>
    </row>
    <row r="108" spans="1:36" ht="18.75" customHeight="1">
      <c r="A108" s="11" t="s">
        <v>226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2">
        <v>5</v>
      </c>
      <c r="AH108" s="12">
        <v>0</v>
      </c>
      <c r="AI108" s="4">
        <f t="shared" si="6"/>
        <v>0</v>
      </c>
      <c r="AJ108" s="5">
        <f t="shared" si="4"/>
        <v>5</v>
      </c>
    </row>
    <row r="109" spans="1:36" ht="18.75" customHeight="1">
      <c r="A109" s="11" t="s">
        <v>227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2">
        <v>6</v>
      </c>
      <c r="AH109" s="12">
        <v>0</v>
      </c>
      <c r="AI109" s="4">
        <f t="shared" si="6"/>
        <v>0</v>
      </c>
      <c r="AJ109" s="5">
        <f t="shared" si="4"/>
        <v>6</v>
      </c>
    </row>
    <row r="110" spans="1:36" ht="18.75" customHeight="1">
      <c r="A110" s="11" t="s">
        <v>228</v>
      </c>
      <c r="B110" s="10">
        <v>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2">
        <v>6</v>
      </c>
      <c r="AH110" s="12">
        <v>0</v>
      </c>
      <c r="AI110" s="4">
        <f t="shared" si="6"/>
        <v>0</v>
      </c>
      <c r="AJ110" s="5">
        <f t="shared" si="4"/>
        <v>6</v>
      </c>
    </row>
    <row r="111" spans="1:36">
      <c r="AJ111" s="5">
        <f t="shared" si="4"/>
        <v>0</v>
      </c>
    </row>
  </sheetData>
  <mergeCells count="1">
    <mergeCell ref="A1:AK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D70" sqref="D70"/>
    </sheetView>
  </sheetViews>
  <sheetFormatPr defaultRowHeight="16.5"/>
  <cols>
    <col min="1" max="1" width="41.75" style="44" customWidth="1"/>
    <col min="2" max="5" width="15" style="44" customWidth="1"/>
  </cols>
  <sheetData>
    <row r="1" spans="1:5" ht="35.1" customHeight="1">
      <c r="A1" s="46" t="s">
        <v>0</v>
      </c>
    </row>
    <row r="3" spans="1:5" ht="24.95" customHeight="1">
      <c r="A3" s="47" t="s">
        <v>1</v>
      </c>
      <c r="B3" s="87" t="s">
        <v>5</v>
      </c>
      <c r="C3"/>
      <c r="D3"/>
      <c r="E3"/>
    </row>
    <row r="4" spans="1:5" ht="20.100000000000001" customHeight="1">
      <c r="A4" s="48" t="str">
        <f>와인_7월수불대장!A4</f>
        <v>1879 S 까베르네쇼비뇽 미니 / 187ml</v>
      </c>
      <c r="B4" s="88">
        <f>와인_7월수불대장!AJ4</f>
        <v>25</v>
      </c>
      <c r="C4"/>
      <c r="D4"/>
      <c r="E4"/>
    </row>
    <row r="5" spans="1:5" ht="20.100000000000001" customHeight="1">
      <c r="A5" s="48" t="str">
        <f>와인_7월수불대장!A5</f>
        <v>1879 SC 샤도네이 미니 / 187ml</v>
      </c>
      <c r="B5" s="88">
        <f>와인_7월수불대장!AJ5</f>
        <v>42</v>
      </c>
      <c r="C5"/>
      <c r="D5"/>
      <c r="E5"/>
    </row>
    <row r="6" spans="1:5" ht="20.100000000000001" customHeight="1">
      <c r="A6" s="48" t="str">
        <f>와인_7월수불대장!A6</f>
        <v>1879 G 모스카토 미니 / 187ml</v>
      </c>
      <c r="B6" s="88">
        <f>와인_7월수불대장!AJ6</f>
        <v>18</v>
      </c>
      <c r="C6"/>
      <c r="D6"/>
      <c r="E6"/>
    </row>
    <row r="7" spans="1:5" ht="20.100000000000001" customHeight="1">
      <c r="A7" s="48" t="str">
        <f>와인_7월수불대장!A7</f>
        <v>1879 D 람부르스코 미니 / 187ml</v>
      </c>
      <c r="B7" s="88">
        <f>와인_7월수불대장!AJ7</f>
        <v>33</v>
      </c>
      <c r="C7"/>
      <c r="D7"/>
      <c r="E7"/>
    </row>
    <row r="8" spans="1:5" ht="20.100000000000001" customHeight="1">
      <c r="A8" s="48" t="str">
        <f>와인_7월수불대장!A8</f>
        <v>E 까스틸로 델 코미다 스위트 레드</v>
      </c>
      <c r="B8" s="88">
        <f>와인_7월수불대장!AJ8</f>
        <v>0</v>
      </c>
      <c r="C8"/>
      <c r="D8"/>
      <c r="E8"/>
    </row>
    <row r="9" spans="1:5" ht="20.100000000000001" customHeight="1">
      <c r="A9" s="48" t="str">
        <f>와인_7월수불대장!A9</f>
        <v>E 까스틸로 델 코미다 스위트 화이트</v>
      </c>
      <c r="B9" s="88">
        <f>와인_7월수불대장!AJ9</f>
        <v>0</v>
      </c>
      <c r="C9"/>
      <c r="D9"/>
      <c r="E9"/>
    </row>
    <row r="10" spans="1:5" ht="20.100000000000001" customHeight="1">
      <c r="A10" s="48" t="str">
        <f>와인_7월수불대장!A10</f>
        <v>1879 S 까베르네쇼비뇽</v>
      </c>
      <c r="B10" s="88">
        <f>와인_7월수불대장!AJ10</f>
        <v>21</v>
      </c>
      <c r="C10"/>
      <c r="D10"/>
      <c r="E10"/>
    </row>
    <row r="11" spans="1:5" ht="20.100000000000001" customHeight="1">
      <c r="A11" s="48" t="str">
        <f>와인_7월수불대장!A11</f>
        <v>1879 SC 샤도네이</v>
      </c>
      <c r="B11" s="88">
        <f>와인_7월수불대장!AJ11</f>
        <v>24</v>
      </c>
      <c r="C11"/>
      <c r="D11"/>
      <c r="E11"/>
    </row>
    <row r="12" spans="1:5" ht="20.100000000000001" customHeight="1">
      <c r="A12" s="48" t="str">
        <f>와인_7월수불대장!A12</f>
        <v>1879 G 모스카토</v>
      </c>
      <c r="B12" s="88">
        <f>와인_7월수불대장!AJ12</f>
        <v>8</v>
      </c>
      <c r="C12"/>
      <c r="D12"/>
      <c r="E12"/>
    </row>
    <row r="13" spans="1:5" ht="20.100000000000001" customHeight="1">
      <c r="A13" s="48" t="str">
        <f>와인_7월수불대장!A13</f>
        <v>D 돌체 볼로</v>
      </c>
      <c r="B13" s="88">
        <f>와인_7월수불대장!AJ13</f>
        <v>16</v>
      </c>
      <c r="C13"/>
      <c r="D13"/>
      <c r="E13"/>
    </row>
    <row r="14" spans="1:5" ht="20.100000000000001" customHeight="1">
      <c r="A14" s="48" t="str">
        <f>와인_7월수불대장!A14</f>
        <v>1879 FR 프레지던트</v>
      </c>
      <c r="B14" s="88">
        <f>와인_7월수불대장!AJ14</f>
        <v>8</v>
      </c>
      <c r="C14"/>
      <c r="D14"/>
      <c r="E14"/>
    </row>
    <row r="15" spans="1:5" ht="20.100000000000001" customHeight="1">
      <c r="A15" s="48" t="str">
        <f>와인_7월수불대장!A15</f>
        <v>1879 B 테레 불랑세</v>
      </c>
      <c r="B15" s="88">
        <f>와인_7월수불대장!AJ15</f>
        <v>11</v>
      </c>
      <c r="C15"/>
      <c r="D15"/>
      <c r="E15"/>
    </row>
    <row r="16" spans="1:5" ht="20.100000000000001" customHeight="1">
      <c r="A16" s="48" t="str">
        <f>와인_7월수불대장!A16</f>
        <v>1879 O 까베르네쇼비뇽 그랑 리제르바</v>
      </c>
      <c r="B16" s="88">
        <f>와인_7월수불대장!AJ16</f>
        <v>0</v>
      </c>
      <c r="C16"/>
      <c r="D16"/>
      <c r="E16"/>
    </row>
    <row r="17" spans="1:5" ht="20.100000000000001" customHeight="1">
      <c r="A17" s="48" t="str">
        <f>와인_7월수불대장!A17</f>
        <v>1879 AP 피노누아</v>
      </c>
      <c r="B17" s="88">
        <f>와인_7월수불대장!AJ17</f>
        <v>9</v>
      </c>
      <c r="C17"/>
      <c r="D17"/>
      <c r="E17"/>
    </row>
    <row r="18" spans="1:5" ht="20.100000000000001" customHeight="1">
      <c r="A18" s="48" t="str">
        <f>와인_7월수불대장!A18</f>
        <v>1879 AS 쉬라즈</v>
      </c>
      <c r="B18" s="88">
        <f>와인_7월수불대장!AJ18</f>
        <v>12</v>
      </c>
      <c r="C18"/>
      <c r="D18"/>
      <c r="E18"/>
    </row>
    <row r="19" spans="1:5" ht="20.100000000000001" customHeight="1">
      <c r="A19" s="48" t="str">
        <f>와인_7월수불대장!A19</f>
        <v>A 까베르네쇼비뇽 프리미엄 리저브</v>
      </c>
      <c r="B19" s="88">
        <f>와인_7월수불대장!AJ19</f>
        <v>6</v>
      </c>
      <c r="C19"/>
      <c r="D19"/>
      <c r="E19"/>
    </row>
    <row r="20" spans="1:5" ht="20.100000000000001" customHeight="1">
      <c r="A20" s="48" t="str">
        <f>와인_7월수불대장!A20</f>
        <v>1879 랑게로쏘 루캇</v>
      </c>
      <c r="B20" s="88">
        <f>와인_7월수불대장!AJ20</f>
        <v>12</v>
      </c>
      <c r="C20"/>
      <c r="D20"/>
      <c r="E20"/>
    </row>
    <row r="21" spans="1:5" ht="20.100000000000001" customHeight="1">
      <c r="A21" s="48" t="str">
        <f>와인_7월수불대장!A21</f>
        <v>1879 바롤로</v>
      </c>
      <c r="B21" s="88">
        <f>와인_7월수불대장!AJ21</f>
        <v>11</v>
      </c>
      <c r="C21"/>
      <c r="D21"/>
      <c r="E21"/>
    </row>
    <row r="22" spans="1:5" ht="20.100000000000001" customHeight="1">
      <c r="A22" s="48" t="str">
        <f>와인_7월수불대장!A22</f>
        <v>1879 T 듀갈</v>
      </c>
      <c r="B22" s="88">
        <f>와인_7월수불대장!AJ22</f>
        <v>6</v>
      </c>
      <c r="C22"/>
      <c r="D22"/>
      <c r="E22"/>
    </row>
    <row r="23" spans="1:5" ht="20.100000000000001" customHeight="1">
      <c r="A23" s="48" t="str">
        <f>와인_7월수불대장!A23</f>
        <v>1879 C 샤또네프뒤파프</v>
      </c>
      <c r="B23" s="88">
        <f>와인_7월수불대장!AJ23</f>
        <v>11</v>
      </c>
      <c r="C23"/>
      <c r="D23"/>
      <c r="E23"/>
    </row>
    <row r="24" spans="1:5" ht="20.100000000000001" customHeight="1">
      <c r="A24" s="48" t="str">
        <f>와인_7월수불대장!A24</f>
        <v>1879 C 샤또네프뒤파프 1,500ml</v>
      </c>
      <c r="B24" s="88">
        <f>와인_7월수불대장!AJ24</f>
        <v>0</v>
      </c>
      <c r="C24"/>
      <c r="D24"/>
      <c r="E24"/>
    </row>
    <row r="25" spans="1:5" ht="20.100000000000001" customHeight="1">
      <c r="A25" s="48" t="str">
        <f>와인_7월수불대장!A25</f>
        <v>1879 W 까사미엔또 화이트</v>
      </c>
      <c r="B25" s="88">
        <f>와인_7월수불대장!AJ25</f>
        <v>9</v>
      </c>
      <c r="C25"/>
      <c r="D25"/>
      <c r="E25"/>
    </row>
    <row r="26" spans="1:5" ht="20.100000000000001" customHeight="1">
      <c r="A26" s="48" t="str">
        <f>와인_7월수불대장!A26</f>
        <v>1879 W 까사미엔또 레드</v>
      </c>
      <c r="B26" s="88">
        <f>와인_7월수불대장!AJ26</f>
        <v>12</v>
      </c>
      <c r="C26"/>
      <c r="D26"/>
      <c r="E26"/>
    </row>
    <row r="27" spans="1:5" ht="20.100000000000001" customHeight="1">
      <c r="A27" s="48" t="str">
        <f>와인_7월수불대장!A27</f>
        <v>까스틸로 델 꼬미다 세미 레드</v>
      </c>
      <c r="B27" s="88">
        <f>와인_7월수불대장!AJ27</f>
        <v>7</v>
      </c>
      <c r="C27"/>
      <c r="D27"/>
      <c r="E27"/>
    </row>
    <row r="28" spans="1:5" ht="20.100000000000001" customHeight="1">
      <c r="A28" s="48" t="str">
        <f>와인_7월수불대장!A28</f>
        <v>1879 Z 마셋 제로</v>
      </c>
      <c r="B28" s="88">
        <f>와인_7월수불대장!AJ28</f>
        <v>8</v>
      </c>
      <c r="C28"/>
      <c r="D28"/>
      <c r="E28"/>
    </row>
    <row r="29" spans="1:5" ht="20.100000000000001" customHeight="1">
      <c r="A29" s="48" t="str">
        <f>와인_7월수불대장!A29</f>
        <v>1879 Z 마셋 제로 로제</v>
      </c>
      <c r="B29" s="88">
        <f>와인_7월수불대장!AJ29</f>
        <v>10</v>
      </c>
      <c r="C29"/>
      <c r="D29"/>
      <c r="E29"/>
    </row>
    <row r="30" spans="1:5" ht="20.100000000000001" customHeight="1">
      <c r="A30" s="48" t="str">
        <f>와인_7월수불대장!A30</f>
        <v>1879 CV 몽 미셀 까바</v>
      </c>
      <c r="B30" s="88">
        <f>와인_7월수불대장!AJ30</f>
        <v>0</v>
      </c>
      <c r="C30"/>
      <c r="D30"/>
      <c r="E30"/>
    </row>
    <row r="31" spans="1:5" ht="20.100000000000001" customHeight="1">
      <c r="A31" s="48" t="str">
        <f>와인_7월수불대장!A31</f>
        <v>빈 7479 까베르네쇼비뇽</v>
      </c>
      <c r="B31" s="88">
        <f>와인_7월수불대장!AJ31</f>
        <v>0</v>
      </c>
      <c r="C31"/>
      <c r="D31"/>
      <c r="E31"/>
    </row>
    <row r="32" spans="1:5" ht="20.100000000000001" customHeight="1">
      <c r="A32" s="48" t="str">
        <f>와인_7월수불대장!A32</f>
        <v>와피 버라이어탈 까베르네쇼비뇽</v>
      </c>
      <c r="B32" s="88">
        <f>와인_7월수불대장!AJ32</f>
        <v>14</v>
      </c>
      <c r="C32"/>
      <c r="D32"/>
      <c r="E32"/>
    </row>
    <row r="33" spans="1:5" ht="20.100000000000001" customHeight="1">
      <c r="A33" s="48" t="str">
        <f>와인_7월수불대장!A33</f>
        <v>와피 버라이어탈 쉬라</v>
      </c>
      <c r="B33" s="88">
        <f>와인_7월수불대장!AJ33</f>
        <v>9</v>
      </c>
      <c r="C33"/>
      <c r="D33"/>
      <c r="E33"/>
    </row>
    <row r="34" spans="1:5" ht="20.100000000000001" customHeight="1">
      <c r="A34" s="48" t="str">
        <f>와인_7월수불대장!A34</f>
        <v>와피 버라이어탈 멜롯</v>
      </c>
      <c r="B34" s="88">
        <f>와인_7월수불대장!AJ34</f>
        <v>7</v>
      </c>
      <c r="C34"/>
      <c r="D34"/>
      <c r="E34"/>
    </row>
    <row r="35" spans="1:5" ht="20.100000000000001" customHeight="1">
      <c r="A35" s="48" t="str">
        <f>와인_7월수불대장!A35</f>
        <v>와피 버라이어탈 샤도네이</v>
      </c>
      <c r="B35" s="88">
        <f>와인_7월수불대장!AJ35</f>
        <v>9</v>
      </c>
      <c r="C35"/>
      <c r="D35"/>
      <c r="E35"/>
    </row>
    <row r="36" spans="1:5" ht="20.100000000000001" customHeight="1">
      <c r="A36" s="48" t="str">
        <f>와인_7월수불대장!A36</f>
        <v>와피 레세르바 까베르네쇼비뇽</v>
      </c>
      <c r="B36" s="88">
        <f>와인_7월수불대장!AJ36</f>
        <v>0</v>
      </c>
      <c r="C36"/>
      <c r="D36"/>
      <c r="E36"/>
    </row>
    <row r="37" spans="1:5" ht="20.100000000000001" customHeight="1">
      <c r="A37" s="48" t="str">
        <f>와인_7월수불대장!A37</f>
        <v>와피 레세르바 멜롯&amp;말백</v>
      </c>
      <c r="B37" s="88">
        <f>와인_7월수불대장!AJ37</f>
        <v>0</v>
      </c>
      <c r="C37"/>
      <c r="D37"/>
      <c r="E37"/>
    </row>
    <row r="38" spans="1:5" ht="20.100000000000001" customHeight="1">
      <c r="A38" s="48" t="str">
        <f>와인_7월수불대장!A38</f>
        <v>와피 레세르바 쇼비뇽블랑</v>
      </c>
      <c r="B38" s="88">
        <f>와인_7월수불대장!AJ38</f>
        <v>0</v>
      </c>
      <c r="C38"/>
      <c r="D38"/>
      <c r="E38"/>
    </row>
    <row r="39" spans="1:5" ht="20.100000000000001" customHeight="1">
      <c r="A39" s="48" t="str">
        <f>와인_7월수불대장!A39</f>
        <v>파눌 레제르바 에스페셜 까베르네쇼비뇽</v>
      </c>
      <c r="B39" s="88">
        <f>와인_7월수불대장!AJ39</f>
        <v>13</v>
      </c>
      <c r="C39"/>
      <c r="D39"/>
      <c r="E39"/>
    </row>
    <row r="40" spans="1:5" ht="20.100000000000001" customHeight="1">
      <c r="A40" s="48" t="str">
        <f>와인_7월수불대장!A40</f>
        <v>파눌 레제르바 에스페셜 시라</v>
      </c>
      <c r="B40" s="88">
        <f>와인_7월수불대장!AJ40</f>
        <v>24</v>
      </c>
      <c r="C40"/>
      <c r="D40"/>
      <c r="E40"/>
    </row>
    <row r="41" spans="1:5" ht="20.100000000000001" customHeight="1">
      <c r="A41" s="48" t="str">
        <f>와인_7월수불대장!A41</f>
        <v>파눌 레제르바 에스페셜 샤도네이</v>
      </c>
      <c r="B41" s="88">
        <f>와인_7월수불대장!AJ41</f>
        <v>15</v>
      </c>
      <c r="C41"/>
      <c r="D41"/>
      <c r="E41"/>
    </row>
    <row r="42" spans="1:5" ht="20.100000000000001" customHeight="1">
      <c r="A42" s="48" t="str">
        <f>와인_7월수불대장!A42</f>
        <v>파눌 그랑 레제르바 쉬라</v>
      </c>
      <c r="B42" s="88">
        <f>와인_7월수불대장!AJ42</f>
        <v>0</v>
      </c>
      <c r="C42"/>
      <c r="D42"/>
      <c r="E42"/>
    </row>
    <row r="43" spans="1:5" ht="20.100000000000001" customHeight="1">
      <c r="A43" s="48" t="str">
        <f>와인_7월수불대장!A43</f>
        <v>와피 그랑 레제르바 까베르네쇼비뇽</v>
      </c>
      <c r="B43" s="88">
        <f>와인_7월수불대장!AJ43</f>
        <v>0</v>
      </c>
      <c r="C43"/>
      <c r="D43"/>
      <c r="E43"/>
    </row>
    <row r="44" spans="1:5" ht="20.100000000000001" customHeight="1">
      <c r="A44" s="48" t="str">
        <f>와인_7월수불대장!A44</f>
        <v>와피 그랑 레제르바 피노누아</v>
      </c>
      <c r="B44" s="88">
        <f>와인_7월수불대장!AJ44</f>
        <v>11</v>
      </c>
      <c r="C44"/>
      <c r="D44"/>
      <c r="E44"/>
    </row>
    <row r="45" spans="1:5" ht="20.100000000000001" customHeight="1">
      <c r="A45" s="48" t="str">
        <f>와인_7월수불대장!A45</f>
        <v>C.E.O 까베르네쇼비뇽 리제르바 에스페셜</v>
      </c>
      <c r="B45" s="88">
        <f>와인_7월수불대장!AJ45</f>
        <v>8</v>
      </c>
      <c r="C45"/>
      <c r="D45"/>
      <c r="E45"/>
    </row>
    <row r="46" spans="1:5" ht="20.100000000000001" customHeight="1">
      <c r="A46" s="48" t="str">
        <f>와인_7월수불대장!A46</f>
        <v>피칠레무 아줄 프로폰도 리미티드 에디션</v>
      </c>
      <c r="B46" s="88">
        <f>와인_7월수불대장!AJ46</f>
        <v>8</v>
      </c>
      <c r="C46"/>
      <c r="D46"/>
      <c r="E46"/>
    </row>
    <row r="47" spans="1:5" ht="20.100000000000001" customHeight="1">
      <c r="A47" s="48" t="str">
        <f>와인_7월수불대장!A47</f>
        <v>파눌 레제르바 에스칼라타 리미티드 에디션</v>
      </c>
      <c r="B47" s="88">
        <f>와인_7월수불대장!AJ47</f>
        <v>0</v>
      </c>
      <c r="C47"/>
      <c r="D47"/>
      <c r="E47"/>
    </row>
    <row r="48" spans="1:5" ht="20.100000000000001" customHeight="1">
      <c r="A48" s="48" t="str">
        <f>와인_7월수불대장!A48</f>
        <v>마르치구 L 까베르네쇼비뇽 리브레</v>
      </c>
      <c r="B48" s="88">
        <f>와인_7월수불대장!AJ48</f>
        <v>17</v>
      </c>
      <c r="C48"/>
      <c r="D48"/>
      <c r="E48"/>
    </row>
    <row r="49" spans="1:5" ht="20.100000000000001" customHeight="1">
      <c r="A49" s="48" t="str">
        <f>와인_7월수불대장!A49</f>
        <v>마르치구 L 쉬라 리브레</v>
      </c>
      <c r="B49" s="88">
        <f>와인_7월수불대장!AJ49</f>
        <v>8</v>
      </c>
      <c r="C49"/>
      <c r="D49"/>
      <c r="E49"/>
    </row>
    <row r="50" spans="1:5" ht="20.100000000000001" customHeight="1">
      <c r="A50" s="48" t="str">
        <f>와인_7월수불대장!A50</f>
        <v>마르치구 M 까베르네쇼비뇽 프라이빗 콜렉션</v>
      </c>
      <c r="B50" s="88">
        <f>와인_7월수불대장!AJ50</f>
        <v>9</v>
      </c>
      <c r="C50"/>
      <c r="D50"/>
      <c r="E50"/>
    </row>
    <row r="51" spans="1:5" ht="20.100000000000001" customHeight="1">
      <c r="A51" s="48" t="str">
        <f>와인_7월수불대장!A51</f>
        <v>마르치구 M 쉬라 프라이빗 콜렉션</v>
      </c>
      <c r="B51" s="88">
        <f>와인_7월수불대장!AJ51</f>
        <v>5</v>
      </c>
      <c r="C51"/>
      <c r="D51"/>
      <c r="E51"/>
    </row>
    <row r="52" spans="1:5" ht="20.100000000000001" customHeight="1">
      <c r="A52" s="48" t="str">
        <f>와인_7월수불대장!A52</f>
        <v>L 10 말벡, 비안치</v>
      </c>
      <c r="B52" s="88">
        <f>와인_7월수불대장!AJ52</f>
        <v>0</v>
      </c>
      <c r="C52"/>
      <c r="D52"/>
      <c r="E52"/>
    </row>
    <row r="53" spans="1:5" ht="20.100000000000001" customHeight="1">
      <c r="A53" s="48" t="str">
        <f>와인_7월수불대장!A53</f>
        <v>L 10 토론테스</v>
      </c>
      <c r="B53" s="88">
        <f>와인_7월수불대장!AJ53</f>
        <v>0</v>
      </c>
      <c r="C53"/>
      <c r="D53"/>
      <c r="E53"/>
    </row>
    <row r="54" spans="1:5" ht="20.100000000000001" customHeight="1">
      <c r="A54" s="48" t="str">
        <f>와인_7월수불대장!A54</f>
        <v>L 10 프리미엄 말벡, 비안치</v>
      </c>
      <c r="B54" s="88">
        <f>와인_7월수불대장!AJ54</f>
        <v>0</v>
      </c>
      <c r="C54"/>
      <c r="D54"/>
      <c r="E54"/>
    </row>
    <row r="55" spans="1:5" ht="20.100000000000001" customHeight="1">
      <c r="A55" s="48" t="str">
        <f>와인_7월수불대장!A55</f>
        <v>그랑디알 브륏 스파클링</v>
      </c>
      <c r="B55" s="88">
        <f>와인_7월수불대장!AJ55</f>
        <v>2</v>
      </c>
      <c r="C55"/>
      <c r="D55"/>
      <c r="E55"/>
    </row>
    <row r="56" spans="1:5" ht="20.100000000000001" customHeight="1">
      <c r="A56" s="48" t="str">
        <f>와인_7월수불대장!A56</f>
        <v>샤토 오 사릭 보르도</v>
      </c>
      <c r="B56" s="88">
        <f>와인_7월수불대장!AJ56</f>
        <v>9</v>
      </c>
      <c r="C56"/>
      <c r="D56"/>
      <c r="E56"/>
    </row>
    <row r="57" spans="1:5" ht="20.100000000000001" customHeight="1">
      <c r="A57" s="48" t="str">
        <f>와인_7월수불대장!A57</f>
        <v>레 끌레 드 언클라브 꼬뜨 뒤 론</v>
      </c>
      <c r="B57" s="88">
        <f>와인_7월수불대장!AJ57</f>
        <v>0</v>
      </c>
      <c r="C57"/>
      <c r="D57"/>
      <c r="E57"/>
    </row>
    <row r="58" spans="1:5" ht="20.100000000000001" customHeight="1">
      <c r="A58" s="48" t="str">
        <f>와인_7월수불대장!A58</f>
        <v>듀오 데 메 레드</v>
      </c>
      <c r="B58" s="88">
        <f>와인_7월수불대장!AJ58</f>
        <v>8</v>
      </c>
      <c r="C58"/>
      <c r="D58"/>
      <c r="E58"/>
    </row>
    <row r="59" spans="1:5" ht="20.100000000000001" customHeight="1">
      <c r="A59" s="48" t="str">
        <f>와인_7월수불대장!A59</f>
        <v>듀오 데 메르 화이트</v>
      </c>
      <c r="B59" s="88">
        <f>와인_7월수불대장!AJ59</f>
        <v>19</v>
      </c>
      <c r="C59"/>
      <c r="D59"/>
      <c r="E59"/>
    </row>
    <row r="60" spans="1:5" ht="20.100000000000001" customHeight="1">
      <c r="A60" s="48" t="str">
        <f>와인_7월수불대장!A60</f>
        <v>듀오 데 플라쥐 로제</v>
      </c>
      <c r="B60" s="88">
        <f>와인_7월수불대장!AJ60</f>
        <v>5</v>
      </c>
      <c r="C60"/>
      <c r="D60"/>
      <c r="E60"/>
    </row>
    <row r="61" spans="1:5" ht="20.100000000000001" customHeight="1">
      <c r="A61" s="48" t="str">
        <f>와인_7월수불대장!A61</f>
        <v>에게르떼 부르고뉴 피노누아</v>
      </c>
      <c r="B61" s="88">
        <f>와인_7월수불대장!AJ61</f>
        <v>9</v>
      </c>
      <c r="C61"/>
      <c r="D61"/>
      <c r="E61"/>
    </row>
    <row r="62" spans="1:5" ht="20.100000000000001" customHeight="1">
      <c r="A62" s="48" t="str">
        <f>와인_7월수불대장!A62</f>
        <v>샤토 물린 드 보르디유 메독</v>
      </c>
      <c r="B62" s="88">
        <f>와인_7월수불대장!AJ62</f>
        <v>3</v>
      </c>
      <c r="C62"/>
      <c r="D62"/>
      <c r="E62"/>
    </row>
    <row r="63" spans="1:5" ht="20.100000000000001" customHeight="1">
      <c r="A63" s="48" t="str">
        <f>와인_7월수불대장!A63</f>
        <v>레 무제트 피노누아</v>
      </c>
      <c r="B63" s="88">
        <f>와인_7월수불대장!AJ63</f>
        <v>8</v>
      </c>
      <c r="C63"/>
      <c r="D63"/>
      <c r="E63"/>
    </row>
    <row r="64" spans="1:5" ht="20.100000000000001" customHeight="1">
      <c r="A64" s="48" t="str">
        <f>와인_7월수불대장!A64</f>
        <v>레 무제트 샤도네이</v>
      </c>
      <c r="B64" s="88">
        <f>와인_7월수불대장!AJ64</f>
        <v>15</v>
      </c>
      <c r="C64"/>
      <c r="D64"/>
      <c r="E64"/>
    </row>
    <row r="65" spans="1:5" ht="20.100000000000001" customHeight="1">
      <c r="A65" s="48" t="str">
        <f>와인_7월수불대장!A65</f>
        <v>린다 돈나 모스카토 로제</v>
      </c>
      <c r="B65" s="88">
        <f>와인_7월수불대장!AJ65</f>
        <v>12</v>
      </c>
      <c r="C65"/>
      <c r="D65"/>
      <c r="E65"/>
    </row>
    <row r="66" spans="1:5" ht="20.100000000000001" customHeight="1">
      <c r="A66" s="48" t="str">
        <f>와인_7월수불대장!A66</f>
        <v xml:space="preserve">비스타 알레그레 모스카텔 </v>
      </c>
      <c r="B66" s="88">
        <f>와인_7월수불대장!AJ66</f>
        <v>12</v>
      </c>
      <c r="C66"/>
      <c r="D66"/>
      <c r="E66"/>
    </row>
    <row r="67" spans="1:5" ht="20.100000000000001" customHeight="1">
      <c r="A67" s="48" t="str">
        <f>와인_7월수불대장!A67</f>
        <v>비스타 알레그레 로제포트</v>
      </c>
      <c r="B67" s="88">
        <f>와인_7월수불대장!AJ67</f>
        <v>11</v>
      </c>
      <c r="C67"/>
      <c r="D67"/>
      <c r="E67"/>
    </row>
    <row r="68" spans="1:5" ht="20.100000000000001" customHeight="1">
      <c r="A68" s="48" t="str">
        <f>와인_7월수불대장!A68</f>
        <v>비스타 알레그레 리제르바 루비 디켄터 포트</v>
      </c>
      <c r="B68" s="88">
        <f>와인_7월수불대장!AJ68</f>
        <v>0</v>
      </c>
      <c r="C68"/>
      <c r="D68"/>
      <c r="E68"/>
    </row>
    <row r="69" spans="1:5" ht="20.100000000000001" customHeight="1">
      <c r="A69" s="48" t="str">
        <f>와인_7월수불대장!A69</f>
        <v>리프라우밀히 라인헤센</v>
      </c>
      <c r="B69" s="88">
        <f>와인_7월수불대장!AJ69</f>
        <v>10</v>
      </c>
      <c r="C69"/>
      <c r="D69"/>
      <c r="E69"/>
    </row>
    <row r="70" spans="1:5" ht="20.100000000000001" customHeight="1">
      <c r="A70" s="48" t="str">
        <f>와인_7월수불대장!A70</f>
        <v>사모스 쿠르타키 스위트 화이트</v>
      </c>
      <c r="B70" s="88">
        <f>와인_7월수불대장!AJ70</f>
        <v>12</v>
      </c>
      <c r="C70"/>
      <c r="D70"/>
      <c r="E70"/>
    </row>
    <row r="71" spans="1:5" ht="20.100000000000001" customHeight="1">
      <c r="A71" s="48" t="str">
        <f>와인_7월수불대장!A71</f>
        <v>불레틴 플레이스 쉬라즈</v>
      </c>
      <c r="B71" s="88">
        <f>와인_7월수불대장!AJ71</f>
        <v>12</v>
      </c>
      <c r="C71"/>
      <c r="D71"/>
      <c r="E71"/>
    </row>
    <row r="72" spans="1:5" ht="20.100000000000001" customHeight="1">
      <c r="A72" s="48" t="str">
        <f>와인_7월수불대장!A72</f>
        <v>쓰리 브릿지스 바로사 쉬라즈</v>
      </c>
      <c r="B72" s="88">
        <f>와인_7월수불대장!AJ72</f>
        <v>0</v>
      </c>
      <c r="C72"/>
      <c r="D72"/>
      <c r="E72"/>
    </row>
    <row r="73" spans="1:5" ht="20.100000000000001" customHeight="1">
      <c r="A73" s="48" t="str">
        <f>와인_7월수불대장!A73</f>
        <v>말보로 바인즈 쇼비뇽블랑</v>
      </c>
      <c r="B73" s="88">
        <f>와인_7월수불대장!AJ73</f>
        <v>13</v>
      </c>
      <c r="C73"/>
      <c r="D73"/>
      <c r="E73"/>
    </row>
    <row r="74" spans="1:5" ht="20.100000000000001" customHeight="1">
      <c r="A74" s="48" t="str">
        <f>와인_7월수불대장!A74</f>
        <v>커피 팟 피노타지</v>
      </c>
      <c r="B74" s="88">
        <f>와인_7월수불대장!AJ74</f>
        <v>9</v>
      </c>
      <c r="C74"/>
      <c r="D74"/>
      <c r="E74"/>
    </row>
    <row r="75" spans="1:5" ht="20.100000000000001" customHeight="1">
      <c r="A75" s="48" t="str">
        <f>와인_7월수불대장!A75</f>
        <v>레아 까베르네 쇼비뇽</v>
      </c>
      <c r="B75" s="88">
        <f>와인_7월수불대장!AJ75</f>
        <v>4</v>
      </c>
      <c r="C75"/>
      <c r="D75"/>
      <c r="E75"/>
    </row>
    <row r="76" spans="1:5" ht="20.100000000000001" customHeight="1">
      <c r="A76" s="48" t="str">
        <f>와인_7월수불대장!A76</f>
        <v>레아 진판델</v>
      </c>
      <c r="B76" s="88">
        <f>와인_7월수불대장!AJ76</f>
        <v>17</v>
      </c>
      <c r="C76"/>
      <c r="D76"/>
      <c r="E76"/>
    </row>
    <row r="77" spans="1:5" ht="20.100000000000001" customHeight="1">
      <c r="A77" s="48" t="str">
        <f>와인_7월수불대장!A77</f>
        <v>레아 피노 누아</v>
      </c>
      <c r="B77" s="88">
        <f>와인_7월수불대장!AJ77</f>
        <v>0</v>
      </c>
      <c r="C77"/>
      <c r="D77"/>
      <c r="E77"/>
    </row>
    <row r="78" spans="1:5" ht="20.100000000000001" customHeight="1">
      <c r="A78" s="48" t="str">
        <f>와인_7월수불대장!A78</f>
        <v>레아 샤르도네</v>
      </c>
      <c r="B78" s="88">
        <f>와인_7월수불대장!AJ78</f>
        <v>3</v>
      </c>
      <c r="C78"/>
      <c r="D78"/>
      <c r="E78"/>
    </row>
    <row r="79" spans="1:5" ht="20.100000000000001" customHeight="1">
      <c r="A79" s="48" t="str">
        <f>와인_7월수불대장!A79</f>
        <v>까사 델캄포 레드</v>
      </c>
      <c r="B79" s="88">
        <f>와인_7월수불대장!AJ79</f>
        <v>21</v>
      </c>
      <c r="C79"/>
      <c r="D79"/>
      <c r="E79"/>
    </row>
    <row r="80" spans="1:5" ht="20.100000000000001" customHeight="1">
      <c r="A80" s="48" t="str">
        <f>와인_7월수불대장!A80</f>
        <v>까사 델캄포 화이트</v>
      </c>
      <c r="B80" s="88">
        <f>와인_7월수불대장!AJ80</f>
        <v>15</v>
      </c>
      <c r="C80"/>
      <c r="D80"/>
      <c r="E80"/>
    </row>
    <row r="81" spans="1:5" ht="20.100000000000001" customHeight="1">
      <c r="A81" s="48" t="str">
        <f>와인_7월수불대장!A81</f>
        <v>까사도마 스푸만테 돌체</v>
      </c>
      <c r="B81" s="88">
        <f>와인_7월수불대장!AJ81</f>
        <v>5</v>
      </c>
      <c r="C81"/>
      <c r="D81"/>
      <c r="E81"/>
    </row>
    <row r="82" spans="1:5" ht="20.100000000000001" customHeight="1">
      <c r="A82" s="48" t="str">
        <f>와인_7월수불대장!A82</f>
        <v>라 코마르카 레드</v>
      </c>
      <c r="B82" s="88">
        <f>와인_7월수불대장!AJ82</f>
        <v>0</v>
      </c>
      <c r="C82"/>
      <c r="D82"/>
      <c r="E82"/>
    </row>
    <row r="83" spans="1:5" ht="20.100000000000001" customHeight="1">
      <c r="A83" s="48" t="str">
        <f>와인_7월수불대장!A83</f>
        <v>그랑비아 스위트</v>
      </c>
      <c r="B83" s="88">
        <f>와인_7월수불대장!AJ83</f>
        <v>35</v>
      </c>
      <c r="C83"/>
      <c r="D83"/>
      <c r="E83"/>
    </row>
    <row r="84" spans="1:5" ht="20.100000000000001" customHeight="1">
      <c r="A84" s="48" t="str">
        <f>와인_7월수불대장!A84</f>
        <v>드루시오 프리잔떼 로제</v>
      </c>
      <c r="B84" s="88">
        <f>와인_7월수불대장!AJ84</f>
        <v>0</v>
      </c>
      <c r="C84"/>
      <c r="D84"/>
      <c r="E84"/>
    </row>
    <row r="85" spans="1:5" ht="20.100000000000001" customHeight="1">
      <c r="A85" s="48" t="str">
        <f>와인_7월수불대장!A85</f>
        <v>핀카 엘 푼탈 템프라니요</v>
      </c>
      <c r="B85" s="88">
        <f>와인_7월수불대장!AJ85</f>
        <v>0</v>
      </c>
      <c r="C85"/>
      <c r="D85"/>
      <c r="E85"/>
    </row>
    <row r="86" spans="1:5" ht="20.100000000000001" customHeight="1">
      <c r="A86" s="48" t="str">
        <f>와인_7월수불대장!A86</f>
        <v>핀카 엘 푼탈 쇼비뇽블랑</v>
      </c>
      <c r="B86" s="88">
        <f>와인_7월수불대장!AJ86</f>
        <v>0</v>
      </c>
      <c r="C86"/>
      <c r="D86"/>
      <c r="E86"/>
    </row>
    <row r="87" spans="1:5" ht="20.100000000000001" customHeight="1">
      <c r="A87" s="48" t="str">
        <f>와인_7월수불대장!A87</f>
        <v>언리얼 쇼비뇽블랑</v>
      </c>
      <c r="B87" s="88">
        <f>와인_7월수불대장!AJ87</f>
        <v>5</v>
      </c>
      <c r="C87"/>
      <c r="D87"/>
      <c r="E87"/>
    </row>
    <row r="88" spans="1:5" ht="20.100000000000001" customHeight="1">
      <c r="A88" s="48" t="str">
        <f>와인_7월수불대장!A88</f>
        <v>언리얼 그르나슈 로제</v>
      </c>
      <c r="B88" s="88">
        <f>와인_7월수불대장!AJ88</f>
        <v>2</v>
      </c>
      <c r="C88"/>
      <c r="D88"/>
      <c r="E88"/>
    </row>
    <row r="89" spans="1:5" ht="20.100000000000001" customHeight="1">
      <c r="A89" s="48" t="str">
        <f>와인_7월수불대장!A89</f>
        <v>언리얼 시라즈</v>
      </c>
      <c r="B89" s="88">
        <f>와인_7월수불대장!AJ89</f>
        <v>1</v>
      </c>
      <c r="C89"/>
      <c r="D89"/>
      <c r="E89"/>
    </row>
    <row r="90" spans="1:5" ht="20.100000000000001" customHeight="1">
      <c r="A90" s="48" t="str">
        <f>와인_7월수불대장!A90</f>
        <v>몽 미셀 브뤼트 까바</v>
      </c>
      <c r="B90" s="88">
        <f>와인_7월수불대장!AJ90</f>
        <v>4</v>
      </c>
      <c r="C90"/>
      <c r="D90"/>
      <c r="E90"/>
    </row>
    <row r="91" spans="1:5" ht="20.100000000000001" customHeight="1">
      <c r="A91" s="48" t="str">
        <f>와인_7월수불대장!A91</f>
        <v>루시퍼스 그린 올리브</v>
      </c>
      <c r="B91" s="88">
        <f>와인_7월수불대장!AJ91</f>
        <v>0</v>
      </c>
      <c r="C91"/>
      <c r="D91"/>
      <c r="E91"/>
    </row>
    <row r="92" spans="1:5" ht="20.100000000000001" customHeight="1">
      <c r="A92" s="48" t="str">
        <f>와인_7월수불대장!A92</f>
        <v>신세계) 킴 크로포드 말보로 쇼비뇽 블랑</v>
      </c>
      <c r="B92" s="88">
        <f>와인_7월수불대장!AJ92</f>
        <v>2</v>
      </c>
      <c r="C92"/>
      <c r="D92"/>
      <c r="E92"/>
    </row>
    <row r="93" spans="1:5" ht="20.100000000000001" customHeight="1">
      <c r="A93" s="48" t="str">
        <f>와인_7월수불대장!A93</f>
        <v>신세계) 뵈브클리코 옐로우레이블(M.H)</v>
      </c>
      <c r="B93" s="88">
        <f>와인_7월수불대장!AJ93</f>
        <v>6</v>
      </c>
      <c r="C93"/>
      <c r="D93"/>
      <c r="E93"/>
    </row>
    <row r="94" spans="1:5" ht="20.100000000000001" customHeight="1">
      <c r="A94" s="48" t="str">
        <f>와인_7월수불대장!A94</f>
        <v>신세계) 뵈브클리코 로제 (M.H)</v>
      </c>
      <c r="B94" s="88">
        <f>와인_7월수불대장!AJ94</f>
        <v>6</v>
      </c>
      <c r="C94"/>
      <c r="D94"/>
      <c r="E94"/>
    </row>
    <row r="95" spans="1:5" ht="20.100000000000001" customHeight="1">
      <c r="A95" s="48" t="str">
        <f>와인_7월수불대장!A95</f>
        <v>신세계) 페리에주에 그랑브뤼(PRK)</v>
      </c>
      <c r="B95" s="88">
        <f>와인_7월수불대장!AJ95</f>
        <v>6</v>
      </c>
      <c r="C95"/>
      <c r="D95"/>
      <c r="E95"/>
    </row>
    <row r="96" spans="1:5" ht="20.100000000000001" customHeight="1">
      <c r="A96" s="48" t="str">
        <f>와인_7월수불대장!A96</f>
        <v>신세계) 루이페드리에 로제</v>
      </c>
      <c r="B96" s="88">
        <f>와인_7월수불대장!AJ96</f>
        <v>6</v>
      </c>
      <c r="C96"/>
      <c r="D96"/>
      <c r="E96"/>
    </row>
    <row r="97" spans="1:5" ht="20.100000000000001" customHeight="1">
      <c r="A97" s="48" t="str">
        <f>와인_7월수불대장!A97</f>
        <v>신세계) 뵈브드베르디에브뤼(하이트)</v>
      </c>
      <c r="B97" s="88">
        <f>와인_7월수불대장!AJ97</f>
        <v>1</v>
      </c>
      <c r="C97"/>
      <c r="D97"/>
      <c r="E97"/>
    </row>
    <row r="98" spans="1:5" ht="20.100000000000001" customHeight="1">
      <c r="A98" s="48" t="str">
        <f>와인_7월수불대장!A98</f>
        <v>신세계) 루이 페르리에(하)</v>
      </c>
      <c r="B98" s="88">
        <f>와인_7월수불대장!AJ98</f>
        <v>0</v>
      </c>
      <c r="C98"/>
      <c r="D98"/>
      <c r="E98"/>
    </row>
    <row r="99" spans="1:5" ht="20.100000000000001" customHeight="1">
      <c r="A99" s="48" t="str">
        <f>와인_7월수불대장!A99</f>
        <v>삼진) 모엣 샹동 브뤼 임페리얼</v>
      </c>
      <c r="B99" s="88">
        <f>와인_7월수불대장!AJ99</f>
        <v>3</v>
      </c>
      <c r="C99"/>
      <c r="D99"/>
      <c r="E99"/>
    </row>
    <row r="100" spans="1:5" ht="20.100000000000001" customHeight="1">
      <c r="A100" s="48" t="str">
        <f>와인_7월수불대장!A100</f>
        <v>삼진) 모엣 샹동 브뤼 임페리얼 로제</v>
      </c>
      <c r="B100" s="88">
        <f>와인_7월수불대장!AJ100</f>
        <v>6</v>
      </c>
      <c r="C100"/>
      <c r="D100"/>
      <c r="E100"/>
    </row>
    <row r="101" spans="1:5" ht="20.100000000000001" customHeight="1">
      <c r="A101" s="48" t="str">
        <f>와인_7월수불대장!A101</f>
        <v>삼진) 루뒤몽크레망드 부르고뉴</v>
      </c>
      <c r="B101" s="88">
        <f>와인_7월수불대장!AJ101</f>
        <v>4</v>
      </c>
      <c r="C101"/>
      <c r="D101"/>
      <c r="E101"/>
    </row>
    <row r="102" spans="1:5" ht="20.100000000000001" customHeight="1">
      <c r="A102" s="48" t="str">
        <f>와인_7월수불대장!A102</f>
        <v>삼진) 오페라 프리마골드 모스카토</v>
      </c>
      <c r="B102" s="88">
        <f>와인_7월수불대장!AJ102</f>
        <v>1</v>
      </c>
      <c r="C102"/>
      <c r="D102"/>
      <c r="E102"/>
    </row>
    <row r="103" spans="1:5" ht="20.100000000000001" customHeight="1">
      <c r="A103" s="48" t="str">
        <f>와인_7월수불대장!A103</f>
        <v>삼진) 로렌조 모스카토</v>
      </c>
      <c r="B103" s="88">
        <f>와인_7월수불대장!AJ103</f>
        <v>1</v>
      </c>
      <c r="C103"/>
      <c r="D103"/>
      <c r="E103"/>
    </row>
    <row r="104" spans="1:5" ht="20.100000000000001" customHeight="1">
      <c r="A104" s="48" t="str">
        <f>와인_7월수불대장!A104</f>
        <v>삼진) 오페라프리마브뤼</v>
      </c>
      <c r="B104" s="88">
        <f>와인_7월수불대장!AJ104</f>
        <v>1</v>
      </c>
      <c r="C104"/>
      <c r="D104"/>
      <c r="E104"/>
    </row>
    <row r="105" spans="1:5" ht="20.100000000000001" customHeight="1">
      <c r="A105" s="48" t="str">
        <f>와인_7월수불대장!A105</f>
        <v>삼진) 풀라티노 블루 모스카토</v>
      </c>
      <c r="B105" s="88">
        <f>와인_7월수불대장!AJ105</f>
        <v>1</v>
      </c>
      <c r="C105"/>
      <c r="D105"/>
      <c r="E105"/>
    </row>
    <row r="106" spans="1:5" ht="20.100000000000001" customHeight="1">
      <c r="A106" s="48" t="str">
        <f>와인_7월수불대장!A106</f>
        <v>삼진) 프로스 페로브륏</v>
      </c>
      <c r="B106" s="88">
        <f>와인_7월수불대장!AJ106</f>
        <v>1</v>
      </c>
      <c r="C106"/>
      <c r="D106"/>
      <c r="E106"/>
    </row>
    <row r="107" spans="1:5" ht="20.100000000000001" customHeight="1">
      <c r="A107" s="48" t="str">
        <f>와인_7월수불대장!A107</f>
        <v>동래상사) 파이퍼 하이직 뀌베 브륏</v>
      </c>
      <c r="B107" s="88">
        <f>와인_7월수불대장!AJ107</f>
        <v>4</v>
      </c>
      <c r="C107"/>
      <c r="D107"/>
      <c r="E107"/>
    </row>
    <row r="108" spans="1:5" ht="20.100000000000001" customHeight="1">
      <c r="A108" s="48" t="str">
        <f>와인_7월수불대장!A108</f>
        <v>동래상사) 아영-오이스터베이 스파클링 뀌베브뤼</v>
      </c>
      <c r="B108" s="88">
        <f>와인_7월수불대장!AJ108</f>
        <v>5</v>
      </c>
      <c r="C108"/>
      <c r="D108"/>
      <c r="E108"/>
    </row>
    <row r="109" spans="1:5" ht="20.100000000000001" customHeight="1">
      <c r="A109" s="48" t="str">
        <f>와인_7월수불대장!A109</f>
        <v>동래상사) 금양-브라운브라더스프리미엄뀌베</v>
      </c>
      <c r="B109" s="88">
        <f>와인_7월수불대장!AJ109</f>
        <v>6</v>
      </c>
      <c r="C109"/>
      <c r="D109"/>
      <c r="E109"/>
    </row>
    <row r="110" spans="1:5" ht="20.100000000000001" customHeight="1">
      <c r="A110" s="48" t="str">
        <f>와인_7월수불대장!A110</f>
        <v>페리에 그랑브뤼</v>
      </c>
      <c r="B110" s="88">
        <f>와인_7월수불대장!AJ110</f>
        <v>6</v>
      </c>
      <c r="C110"/>
      <c r="D110"/>
      <c r="E110"/>
    </row>
    <row r="111" spans="1:5">
      <c r="B111" s="89"/>
      <c r="C111"/>
      <c r="D111"/>
      <c r="E111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출고가</vt:lpstr>
      <vt:lpstr>7월 스쿨 출고내역 </vt:lpstr>
      <vt:lpstr>와인_7월수불대장</vt:lpstr>
      <vt:lpstr>현재고_요약</vt:lpstr>
      <vt:lpstr>출고가!Print_Area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함승일</cp:lastModifiedBy>
  <dcterms:created xsi:type="dcterms:W3CDTF">2026-07-01T04:43:25Z</dcterms:created>
  <dcterms:modified xsi:type="dcterms:W3CDTF">2026-07-01T05:55:00Z</dcterms:modified>
</cp:coreProperties>
</file>