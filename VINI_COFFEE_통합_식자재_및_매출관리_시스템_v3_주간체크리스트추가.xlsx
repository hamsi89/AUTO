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name="원재료" sheetId="1" state="visible" r:id="rId1"/>
    <sheet name="부자재" sheetId="2" state="visible" r:id="rId2"/>
    <sheet name="디저트&amp;완제품" sheetId="3" state="visible" r:id="rId3"/>
    <sheet name="원재료(간략)" sheetId="4" state="visible" r:id="rId4"/>
    <sheet name="부자재(간략)" sheetId="5" state="visible" r:id="rId5"/>
    <sheet name="디저트&amp;완제품(간략)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0">
    <font>
      <name val="맑은 고딕"/>
      <family val="2"/>
      <color theme="1"/>
      <sz val="11"/>
      <scheme val="minor"/>
    </font>
    <font>
      <name val="Malgun Gothic"/>
      <charset val="129"/>
      <family val="2"/>
      <b val="1"/>
      <color rgb="FF005B60"/>
      <sz val="14"/>
    </font>
    <font>
      <name val="Malgun Gothic"/>
      <charset val="129"/>
      <family val="2"/>
      <b val="1"/>
      <color rgb="FFFFFFFF"/>
      <sz val="9"/>
    </font>
    <font>
      <name val="Malgun Gothic"/>
      <charset val="129"/>
      <family val="2"/>
      <color theme="1"/>
      <sz val="9"/>
    </font>
    <font>
      <name val="Malgun Gothic"/>
      <charset val="129"/>
      <family val="2"/>
      <b val="1"/>
      <color theme="1"/>
      <sz val="9"/>
    </font>
    <font>
      <name val="Malgun Gothic"/>
      <charset val="129"/>
      <family val="2"/>
      <color theme="1"/>
      <sz val="9"/>
    </font>
    <font>
      <name val="맑은 고딕"/>
      <charset val="129"/>
      <family val="3"/>
      <sz val="8"/>
      <scheme val="minor"/>
    </font>
    <font>
      <name val="맑은 고딕"/>
      <b val="1"/>
      <color rgb="FF1F497D"/>
      <sz val="14"/>
    </font>
    <font>
      <name val="맑은 고딕"/>
      <b val="1"/>
      <color rgb="FFFFFFFF"/>
      <sz val="10"/>
    </font>
    <font>
      <name val="맑은 고딕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005B60"/>
        <bgColor rgb="FF005B60"/>
      </patternFill>
    </fill>
    <fill>
      <patternFill patternType="solid">
        <fgColor rgb="FFF9F9F9"/>
        <bgColor rgb="FFF9F9F9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rgb="FFFFC7CE"/>
      </patternFill>
    </fill>
    <fill>
      <patternFill patternType="solid">
        <fgColor theme="9"/>
        <bgColor rgb="FFF9F9F9"/>
      </patternFill>
    </fill>
    <fill>
      <patternFill patternType="solid">
        <fgColor rgb="FF2F3542"/>
        <bgColor rgb="FF2F3542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CED6E0"/>
      </left>
      <right style="thin">
        <color rgb="FFCED6E0"/>
      </right>
      <top style="thin">
        <color rgb="FFCED6E0"/>
      </top>
      <bottom style="thin">
        <color rgb="FFCED6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3" fontId="4" fillId="3" borderId="1" pivotButton="0" quotePrefix="0" xfId="0"/>
    <xf numFmtId="0" fontId="3" fillId="4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0" fontId="0" fillId="0" borderId="0" pivotButton="0" quotePrefix="0" xfId="0"/>
    <xf numFmtId="0" fontId="3" fillId="5" borderId="1" applyAlignment="1" pivotButton="0" quotePrefix="0" xfId="0">
      <alignment horizontal="left"/>
    </xf>
    <xf numFmtId="3" fontId="4" fillId="6" borderId="1" pivotButton="0" quotePrefix="0" xfId="0"/>
    <xf numFmtId="164" fontId="3" fillId="0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8" fillId="7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3" fontId="9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164" fontId="0" fillId="0" borderId="0" pivotButton="0" quotePrefix="0" xfId="0"/>
    <xf numFmtId="164" fontId="3" fillId="4" borderId="1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  <xf numFmtId="0" fontId="7" fillId="0" borderId="0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164" fontId="0" fillId="0" borderId="0" pivotButton="0" quotePrefix="0" xfId="0"/>
    <xf numFmtId="164" fontId="3" fillId="4" borderId="1" applyAlignment="1" pivotButton="0" quotePrefix="0" xfId="0">
      <alignment horizontal="center"/>
    </xf>
    <xf numFmtId="164" fontId="9" fillId="0" borderId="2" applyAlignment="1" pivotButton="0" quotePrefix="0" xfId="0">
      <alignment horizontal="center" vertical="center"/>
    </xf>
  </cellXfs>
  <cellStyles count="1">
    <cellStyle name="표준" xfId="0" builtinId="0"/>
  </cellStyles>
  <dxfs count="10"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  <dxf>
      <font>
        <name val="맑은 고딕"/>
        <b val="1"/>
        <color rgb="FFC0392B"/>
        <sz val="10"/>
      </font>
      <fill>
        <patternFill patternType="solid">
          <fgColor rgb="FFFFD2D2"/>
          <bgColor rgb="FFFFD2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xSplit="2" ySplit="3" topLeftCell="C15" activePane="bottomRight" state="frozen"/>
      <selection activeCell="G83" sqref="G83"/>
      <selection pane="topRight" activeCell="G83" sqref="G83"/>
      <selection pane="bottomLeft" activeCell="G83" sqref="G83"/>
      <selection pane="bottomRight" activeCell="AJ4" sqref="AJ4:AJ41"/>
    </sheetView>
  </sheetViews>
  <sheetFormatPr baseColWidth="8" defaultRowHeight="16.5"/>
  <cols>
    <col width="16.75" customWidth="1" style="21" min="1" max="1"/>
    <col width="24" customWidth="1" style="21" min="2" max="2"/>
    <col width="5" customWidth="1" style="21" min="3" max="33"/>
    <col width="9.125" customWidth="1" style="21" min="34" max="37"/>
  </cols>
  <sheetData>
    <row r="1" ht="16.5" customHeight="1" s="21">
      <c r="A1" s="20" t="inlineStr">
        <is>
          <t>VINI COFFEE 안락동점 월간 식자재 수불 대장 (81개 전품목 연동)</t>
        </is>
      </c>
    </row>
    <row r="2" ht="16.5" customHeight="1" s="21"/>
    <row r="3" ht="25.5" customHeight="1" s="21">
      <c r="A3" s="1" t="inlineStr">
        <is>
          <t>유통기간</t>
        </is>
      </c>
      <c r="B3" s="1" t="inlineStr">
        <is>
          <t>구 분(발주처)</t>
        </is>
      </c>
      <c r="C3" s="1" t="inlineStr">
        <is>
          <t>1일</t>
        </is>
      </c>
      <c r="D3" s="1" t="inlineStr">
        <is>
          <t>2일</t>
        </is>
      </c>
      <c r="E3" s="1" t="inlineStr">
        <is>
          <t>3일</t>
        </is>
      </c>
      <c r="F3" s="1" t="inlineStr">
        <is>
          <t>4일</t>
        </is>
      </c>
      <c r="G3" s="1" t="inlineStr">
        <is>
          <t>5일</t>
        </is>
      </c>
      <c r="H3" s="1" t="inlineStr">
        <is>
          <t>6일</t>
        </is>
      </c>
      <c r="I3" s="1" t="inlineStr">
        <is>
          <t>7일</t>
        </is>
      </c>
      <c r="J3" s="1" t="inlineStr">
        <is>
          <t>8일</t>
        </is>
      </c>
      <c r="K3" s="1" t="inlineStr">
        <is>
          <t>9일</t>
        </is>
      </c>
      <c r="L3" s="1" t="inlineStr">
        <is>
          <t>10일</t>
        </is>
      </c>
      <c r="M3" s="1" t="inlineStr">
        <is>
          <t>11일</t>
        </is>
      </c>
      <c r="N3" s="1" t="inlineStr">
        <is>
          <t>12일</t>
        </is>
      </c>
      <c r="O3" s="1" t="inlineStr">
        <is>
          <t>13일</t>
        </is>
      </c>
      <c r="P3" s="1" t="inlineStr">
        <is>
          <t>14일</t>
        </is>
      </c>
      <c r="Q3" s="1" t="inlineStr">
        <is>
          <t>15일</t>
        </is>
      </c>
      <c r="R3" s="1" t="inlineStr">
        <is>
          <t>16일</t>
        </is>
      </c>
      <c r="S3" s="1" t="inlineStr">
        <is>
          <t>17일</t>
        </is>
      </c>
      <c r="T3" s="1" t="inlineStr">
        <is>
          <t>18일</t>
        </is>
      </c>
      <c r="U3" s="1" t="inlineStr">
        <is>
          <t>19일</t>
        </is>
      </c>
      <c r="V3" s="1" t="inlineStr">
        <is>
          <t>20일</t>
        </is>
      </c>
      <c r="W3" s="1" t="inlineStr">
        <is>
          <t>21일</t>
        </is>
      </c>
      <c r="X3" s="1" t="inlineStr">
        <is>
          <t>22일</t>
        </is>
      </c>
      <c r="Y3" s="1" t="inlineStr">
        <is>
          <t>23일</t>
        </is>
      </c>
      <c r="Z3" s="1" t="inlineStr">
        <is>
          <t>24일</t>
        </is>
      </c>
      <c r="AA3" s="1" t="inlineStr">
        <is>
          <t>25일</t>
        </is>
      </c>
      <c r="AB3" s="1" t="inlineStr">
        <is>
          <t>26일</t>
        </is>
      </c>
      <c r="AC3" s="1" t="inlineStr">
        <is>
          <t>27일</t>
        </is>
      </c>
      <c r="AD3" s="1" t="inlineStr">
        <is>
          <t>28일</t>
        </is>
      </c>
      <c r="AE3" s="1" t="inlineStr">
        <is>
          <t>29일</t>
        </is>
      </c>
      <c r="AF3" s="1" t="inlineStr">
        <is>
          <t>30일</t>
        </is>
      </c>
      <c r="AG3" s="1" t="inlineStr">
        <is>
          <t>31일</t>
        </is>
      </c>
      <c r="AH3" s="1" t="inlineStr">
        <is>
          <t>전월 재고</t>
        </is>
      </c>
      <c r="AI3" s="1" t="inlineStr">
        <is>
          <t>금월 입고</t>
        </is>
      </c>
      <c r="AJ3" s="1" t="inlineStr">
        <is>
          <t>월 소모 합계</t>
        </is>
      </c>
      <c r="AK3" s="1" t="inlineStr">
        <is>
          <t>현 재고</t>
        </is>
      </c>
    </row>
    <row r="4" ht="16.5" customHeight="1" s="21">
      <c r="A4" s="23" t="inlineStr">
        <is>
          <t>2028-02-10 00:00:00</t>
        </is>
      </c>
      <c r="B4" s="2" t="inlineStr">
        <is>
          <t>커피(퍼플-마스터피스)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  <c r="AG4" s="3" t="n">
        <v>0</v>
      </c>
      <c r="AH4" s="9" t="n">
        <v>19</v>
      </c>
      <c r="AI4" s="9" t="n">
        <v>0</v>
      </c>
      <c r="AJ4" s="9">
        <f>SUM(C4:AG4)</f>
        <v/>
      </c>
      <c r="AK4" s="9">
        <f>AH4+AI4-AJ4</f>
        <v/>
      </c>
    </row>
    <row r="5" ht="16.5" customHeight="1" s="21">
      <c r="A5" s="23" t="inlineStr">
        <is>
          <t>2026-10-27</t>
        </is>
      </c>
      <c r="B5" s="2" t="inlineStr">
        <is>
          <t>디카페인커피(퍼를-감성고릴라)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9" t="n">
        <v>8</v>
      </c>
      <c r="AI5" s="9" t="n">
        <v>0</v>
      </c>
      <c r="AJ5" s="9">
        <f>SUM(C5:AG5)</f>
        <v/>
      </c>
      <c r="AK5" s="9">
        <f>AH5+AI5-AJ5</f>
        <v/>
      </c>
    </row>
    <row r="6" ht="16.5" customHeight="1" s="21">
      <c r="A6" s="23" t="inlineStr">
        <is>
          <t>2026-12-29</t>
        </is>
      </c>
      <c r="B6" s="2" t="inlineStr">
        <is>
          <t>시럽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9" t="n">
        <v>7</v>
      </c>
      <c r="AI6" s="9" t="n">
        <v>0</v>
      </c>
      <c r="AJ6" s="9">
        <f>SUM(C6:AG6)</f>
        <v/>
      </c>
      <c r="AK6" s="9">
        <f>AH6+AI6-AJ6</f>
        <v/>
      </c>
    </row>
    <row r="7" ht="16.5" customHeight="1" s="21">
      <c r="A7" s="24" t="inlineStr">
        <is>
          <t>2026-07-30 00:00:00</t>
        </is>
      </c>
      <c r="B7" s="8" t="inlineStr">
        <is>
          <t>서울우유</t>
        </is>
      </c>
      <c r="C7" s="3" t="n">
        <v>4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9" t="n">
        <v>5</v>
      </c>
      <c r="AI7" s="9" t="n">
        <v>16</v>
      </c>
      <c r="AJ7" s="9">
        <f>SUM(C7:AG7)</f>
        <v/>
      </c>
      <c r="AK7" s="9">
        <f>AH7+AI7-AJ7</f>
        <v/>
      </c>
    </row>
    <row r="8" ht="16.5" customHeight="1" s="21">
      <c r="A8" s="23" t="inlineStr">
        <is>
          <t>2028-01-22</t>
        </is>
      </c>
      <c r="B8" s="2" t="inlineStr">
        <is>
          <t>바닐라 파우더(퍼플랜드)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9" t="n">
        <v>5</v>
      </c>
      <c r="AI8" s="9" t="n">
        <v>0</v>
      </c>
      <c r="AJ8" s="9">
        <f>SUM(C8:AG8)</f>
        <v/>
      </c>
      <c r="AK8" s="9">
        <f>AH8+AI8-AJ8</f>
        <v/>
      </c>
    </row>
    <row r="9" ht="16.5" customHeight="1" s="21">
      <c r="A9" s="23" t="inlineStr">
        <is>
          <t>2027-08-11</t>
        </is>
      </c>
      <c r="B9" s="2" t="inlineStr">
        <is>
          <t>초코 파우더(퍼플랜드)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9" t="n">
        <v>4</v>
      </c>
      <c r="AI9" s="9" t="n">
        <v>0</v>
      </c>
      <c r="AJ9" s="9">
        <f>SUM(C9:AG9)</f>
        <v/>
      </c>
      <c r="AK9" s="9">
        <f>AH9+AI9-AJ9</f>
        <v/>
      </c>
    </row>
    <row r="10" ht="16.5" customHeight="1" s="21">
      <c r="A10" s="23" t="inlineStr">
        <is>
          <t>2027-04-04</t>
        </is>
      </c>
      <c r="B10" s="2" t="inlineStr">
        <is>
          <t>코코넛 파우더(퍼플랜드)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9" t="n">
        <v>2</v>
      </c>
      <c r="AI10" s="9" t="n">
        <v>0</v>
      </c>
      <c r="AJ10" s="9">
        <f>SUM(C10:AG10)</f>
        <v/>
      </c>
      <c r="AK10" s="9">
        <f>AH10+AI10-AJ10</f>
        <v/>
      </c>
    </row>
    <row r="11" ht="16.5" customHeight="1" s="21">
      <c r="A11" s="23" t="inlineStr">
        <is>
          <t>2027-10-28</t>
        </is>
      </c>
      <c r="B11" s="2" t="inlineStr">
        <is>
          <t>복숭아 파우더(퍼플랜드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9" t="n">
        <v>5</v>
      </c>
      <c r="AI11" s="9" t="n">
        <v>0</v>
      </c>
      <c r="AJ11" s="9">
        <f>SUM(C11:AG11)</f>
        <v/>
      </c>
      <c r="AK11" s="9">
        <f>AH11+AI11-AJ11</f>
        <v/>
      </c>
    </row>
    <row r="12" ht="16.5" customHeight="1" s="21">
      <c r="A12" s="23" t="inlineStr">
        <is>
          <t>2027-09-14</t>
        </is>
      </c>
      <c r="B12" s="2" t="inlineStr">
        <is>
          <t>플레인 파우더(퍼플랜드)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9" t="n">
        <v>5</v>
      </c>
      <c r="AI12" s="9" t="n">
        <v>0</v>
      </c>
      <c r="AJ12" s="9">
        <f>SUM(C12:AG12)</f>
        <v/>
      </c>
      <c r="AK12" s="9">
        <f>AH12+AI12-AJ12</f>
        <v/>
      </c>
    </row>
    <row r="13" ht="16.5" customHeight="1" s="21">
      <c r="A13" s="23" t="inlineStr">
        <is>
          <t>2028-01-11</t>
        </is>
      </c>
      <c r="B13" s="2" t="inlineStr">
        <is>
          <t>말차 파우더(퍼플랜드)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9" t="n">
        <v>4</v>
      </c>
      <c r="AI13" s="9" t="n">
        <v>0</v>
      </c>
      <c r="AJ13" s="9">
        <f>SUM(C13:AG13)</f>
        <v/>
      </c>
      <c r="AK13" s="9">
        <f>AH13+AI13-AJ13</f>
        <v/>
      </c>
    </row>
    <row r="14" ht="16.5" customHeight="1" s="21">
      <c r="A14" s="23" t="inlineStr">
        <is>
          <t>2027-06-03</t>
        </is>
      </c>
      <c r="B14" s="2" t="inlineStr">
        <is>
          <t>밀크 파우더(퍼플랜드)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9" t="n">
        <v>3</v>
      </c>
      <c r="AI14" s="9" t="n">
        <v>0</v>
      </c>
      <c r="AJ14" s="9">
        <f>SUM(C14:AG14)</f>
        <v/>
      </c>
      <c r="AK14" s="9">
        <f>AH14+AI14-AJ14</f>
        <v/>
      </c>
    </row>
    <row r="15" ht="16.5" customHeight="1" s="21">
      <c r="A15" s="23" t="inlineStr">
        <is>
          <t>2027-05-12</t>
        </is>
      </c>
      <c r="B15" s="2" t="inlineStr">
        <is>
          <t>연유(메가)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9" t="n">
        <v>1</v>
      </c>
      <c r="AI15" s="9" t="n">
        <v>0</v>
      </c>
      <c r="AJ15" s="9">
        <f>SUM(C15:AG15)</f>
        <v/>
      </c>
      <c r="AK15" s="9">
        <f>AH15+AI15-AJ15</f>
        <v/>
      </c>
    </row>
    <row r="16" ht="16.5" customHeight="1" s="21">
      <c r="A16" s="23" t="inlineStr">
        <is>
          <t>2027-05-21</t>
        </is>
      </c>
      <c r="B16" s="2" t="inlineStr">
        <is>
          <t>카라멜(메가)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9" t="n">
        <v>0</v>
      </c>
      <c r="AI16" s="9" t="n">
        <v>0</v>
      </c>
      <c r="AJ16" s="9">
        <f>SUM(C16:AG16)</f>
        <v/>
      </c>
      <c r="AK16" s="9">
        <f>AH16+AI16-AJ16</f>
        <v/>
      </c>
    </row>
    <row r="17" ht="16.5" customHeight="1" s="21">
      <c r="A17" s="23" t="inlineStr">
        <is>
          <t>2026-09-09</t>
        </is>
      </c>
      <c r="B17" s="2" t="inlineStr">
        <is>
          <t>자몽 건조 과일(쿠팡)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9" t="n">
        <v>0</v>
      </c>
      <c r="AI17" s="9" t="n">
        <v>0</v>
      </c>
      <c r="AJ17" s="9">
        <f>SUM(C17:AG17)</f>
        <v/>
      </c>
      <c r="AK17" s="9">
        <f>AH17+AI17-AJ17</f>
        <v/>
      </c>
    </row>
    <row r="18" ht="16.5" customHeight="1" s="21">
      <c r="A18" s="23" t="inlineStr">
        <is>
          <t>2027-09-04</t>
        </is>
      </c>
      <c r="B18" s="2" t="inlineStr">
        <is>
          <t>레몬 건조 과일(쿠팡)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9" t="n">
        <v>2</v>
      </c>
      <c r="AI18" s="9" t="n">
        <v>0</v>
      </c>
      <c r="AJ18" s="9">
        <f>SUM(C18:AG18)</f>
        <v/>
      </c>
      <c r="AK18" s="9">
        <f>AH18+AI18-AJ18</f>
        <v/>
      </c>
    </row>
    <row r="19" ht="16.5" customHeight="1" s="21">
      <c r="A19" s="23" t="inlineStr">
        <is>
          <t>2027-07-03</t>
        </is>
      </c>
      <c r="B19" s="2" t="inlineStr">
        <is>
          <t>청귤 건초 과일(쿠팡)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9" t="n">
        <v>0</v>
      </c>
      <c r="AI19" s="9" t="n">
        <v>0</v>
      </c>
      <c r="AJ19" s="9">
        <f>SUM(C19:AG19)</f>
        <v/>
      </c>
      <c r="AK19" s="9">
        <f>AH19+AI19-AJ19</f>
        <v/>
      </c>
    </row>
    <row r="20" ht="16.5" customHeight="1" s="21">
      <c r="A20" s="23" t="inlineStr">
        <is>
          <t>2027-07-12</t>
        </is>
      </c>
      <c r="B20" s="2" t="inlineStr">
        <is>
          <t>자몽 농축액(메가)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9" t="n">
        <v>2</v>
      </c>
      <c r="AI20" s="9" t="n">
        <v>0</v>
      </c>
      <c r="AJ20" s="9">
        <f>SUM(C20:AG20)</f>
        <v/>
      </c>
      <c r="AK20" s="9">
        <f>AH20+AI20-AJ20</f>
        <v/>
      </c>
    </row>
    <row r="21" ht="16.5" customHeight="1" s="21">
      <c r="A21" s="23" t="inlineStr">
        <is>
          <t>2027-09-29</t>
        </is>
      </c>
      <c r="B21" s="2" t="inlineStr">
        <is>
          <t>레몬 농축액(메가)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9" t="n">
        <v>3</v>
      </c>
      <c r="AI21" s="9" t="n">
        <v>0</v>
      </c>
      <c r="AJ21" s="9">
        <f>SUM(C21:AG21)</f>
        <v/>
      </c>
      <c r="AK21" s="9">
        <f>AH21+AI21-AJ21</f>
        <v/>
      </c>
    </row>
    <row r="22" ht="16.5" customHeight="1" s="21">
      <c r="A22" s="23" t="inlineStr">
        <is>
          <t>2027-07-14</t>
        </is>
      </c>
      <c r="B22" s="2" t="inlineStr">
        <is>
          <t>청귤 농축액(메가)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0</v>
      </c>
      <c r="AG22" s="3" t="n">
        <v>0</v>
      </c>
      <c r="AH22" s="9" t="n">
        <v>0</v>
      </c>
      <c r="AI22" s="9" t="n">
        <v>0</v>
      </c>
      <c r="AJ22" s="9">
        <f>SUM(C22:AG22)</f>
        <v/>
      </c>
      <c r="AK22" s="9">
        <f>AH22+AI22-AJ22</f>
        <v/>
      </c>
    </row>
    <row r="23" ht="16.5" customHeight="1" s="21">
      <c r="A23" s="23" t="inlineStr">
        <is>
          <t>2027-05-30</t>
        </is>
      </c>
      <c r="B23" s="2" t="inlineStr">
        <is>
          <t>감귤(네이버)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0</v>
      </c>
      <c r="AF23" s="3" t="n">
        <v>0</v>
      </c>
      <c r="AG23" s="3" t="n">
        <v>0</v>
      </c>
      <c r="AH23" s="9" t="n">
        <v>3</v>
      </c>
      <c r="AI23" s="9" t="n">
        <v>0</v>
      </c>
      <c r="AJ23" s="9">
        <f>SUM(C23:AG23)</f>
        <v/>
      </c>
      <c r="AK23" s="9">
        <f>AH23+AI23-AJ23</f>
        <v/>
      </c>
    </row>
    <row r="24" ht="16.5" customHeight="1" s="21">
      <c r="A24" s="23" t="inlineStr">
        <is>
          <t>2027-02-10</t>
        </is>
      </c>
      <c r="B24" s="2" t="inlineStr">
        <is>
          <t>수박주스(csf)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9" t="n">
        <v>4</v>
      </c>
      <c r="AI24" s="9" t="n">
        <v>0</v>
      </c>
      <c r="AJ24" s="9">
        <f>SUM(C24:AG24)</f>
        <v/>
      </c>
      <c r="AK24" s="9">
        <f>AH24+AI24-AJ24</f>
        <v/>
      </c>
    </row>
    <row r="25" ht="16.5" customHeight="1" s="21">
      <c r="A25" s="23" t="inlineStr">
        <is>
          <t>2028-04-22</t>
        </is>
      </c>
      <c r="B25" s="2" t="inlineStr">
        <is>
          <t>냉동 딸기(메가)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9" t="n">
        <v>2</v>
      </c>
      <c r="AI25" s="9" t="n">
        <v>0</v>
      </c>
      <c r="AJ25" s="9">
        <f>SUM(C25:AG25)</f>
        <v/>
      </c>
      <c r="AK25" s="9">
        <f>AH25+AI25-AJ25</f>
        <v/>
      </c>
    </row>
    <row r="26" ht="16.5" customHeight="1" s="21">
      <c r="A26" s="23" t="inlineStr">
        <is>
          <t>2027-01-20</t>
        </is>
      </c>
      <c r="B26" s="2" t="inlineStr">
        <is>
          <t>딸기잼(메가)</t>
        </is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9" t="n">
        <v>3</v>
      </c>
      <c r="AI26" s="9" t="n">
        <v>0</v>
      </c>
      <c r="AJ26" s="9">
        <f>SUM(C26:AG26)</f>
        <v/>
      </c>
      <c r="AK26" s="9">
        <f>AH26+AI26-AJ26</f>
        <v/>
      </c>
    </row>
    <row r="27" ht="16.5" customHeight="1" s="21">
      <c r="A27" s="23" t="inlineStr">
        <is>
          <t>2026-10-26</t>
        </is>
      </c>
      <c r="B27" s="2" t="inlineStr">
        <is>
          <t>블루베리쨈(메가)</t>
        </is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  <c r="AG27" s="3" t="n">
        <v>0</v>
      </c>
      <c r="AH27" s="9" t="n">
        <v>1</v>
      </c>
      <c r="AI27" s="9" t="n">
        <v>0</v>
      </c>
      <c r="AJ27" s="9">
        <f>SUM(C27:AG27)</f>
        <v/>
      </c>
      <c r="AK27" s="9">
        <f>AH27+AI27-AJ27</f>
        <v/>
      </c>
    </row>
    <row r="28" ht="16.5" customHeight="1" s="21">
      <c r="A28" s="23" t="inlineStr">
        <is>
          <t>2027-05-21</t>
        </is>
      </c>
      <c r="B28" s="2" t="inlineStr">
        <is>
          <t>망고베이스(메가)</t>
        </is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9" t="n">
        <v>0</v>
      </c>
      <c r="AI28" s="9" t="n">
        <v>0</v>
      </c>
      <c r="AJ28" s="9">
        <f>SUM(C28:AG28)</f>
        <v/>
      </c>
      <c r="AK28" s="9">
        <f>AH28+AI28-AJ28</f>
        <v/>
      </c>
    </row>
    <row r="29" ht="16.5" customHeight="1" s="21">
      <c r="A29" s="23" t="inlineStr">
        <is>
          <t>2027-08-07</t>
        </is>
      </c>
      <c r="B29" s="2" t="inlineStr">
        <is>
          <t>탄산수 (박스30)메가</t>
        </is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  <c r="AD29" s="3" t="n">
        <v>0</v>
      </c>
      <c r="AE29" s="3" t="n">
        <v>0</v>
      </c>
      <c r="AF29" s="3" t="n">
        <v>0</v>
      </c>
      <c r="AG29" s="3" t="n">
        <v>0</v>
      </c>
      <c r="AH29" s="9" t="n">
        <v>72</v>
      </c>
      <c r="AI29" s="9" t="n">
        <v>0</v>
      </c>
      <c r="AJ29" s="9">
        <f>SUM(C29:AG29)</f>
        <v/>
      </c>
      <c r="AK29" s="9">
        <f>AH29+AI29-AJ29</f>
        <v/>
      </c>
    </row>
    <row r="30" ht="16.5" customHeight="1" s="21">
      <c r="A30" s="25" t="inlineStr">
        <is>
          <t>2026-05-17</t>
        </is>
      </c>
      <c r="B30" s="8" t="inlineStr">
        <is>
          <t>빙수 팥(본사중앙창고)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9" t="n">
        <v>5</v>
      </c>
      <c r="AI30" s="9" t="n">
        <v>0</v>
      </c>
      <c r="AJ30" s="9">
        <f>SUM(C30:AG30)</f>
        <v/>
      </c>
      <c r="AK30" s="9">
        <f>AH30+AI30-AJ30</f>
        <v/>
      </c>
    </row>
    <row r="31" ht="16.5" customHeight="1" s="21">
      <c r="A31" s="23" t="inlineStr">
        <is>
          <t>2026-11-10</t>
        </is>
      </c>
      <c r="B31" s="2" t="inlineStr">
        <is>
          <t>휘핑크림</t>
        </is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9" t="n">
        <v>10</v>
      </c>
      <c r="AI31" s="9" t="n">
        <v>0</v>
      </c>
      <c r="AJ31" s="9">
        <f>SUM(C31:AG31)</f>
        <v/>
      </c>
      <c r="AK31" s="9">
        <f>AH31+AI31-AJ31</f>
        <v/>
      </c>
    </row>
    <row r="32" ht="16.5" customHeight="1" s="21">
      <c r="A32" s="23" t="inlineStr">
        <is>
          <t>2026-12-20</t>
        </is>
      </c>
      <c r="B32" s="2" t="inlineStr">
        <is>
          <t>딸기 다이스</t>
        </is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9" t="n">
        <v>0</v>
      </c>
      <c r="AI32" s="9" t="n">
        <v>0</v>
      </c>
      <c r="AJ32" s="9">
        <f>SUM(C32:AG32)</f>
        <v/>
      </c>
      <c r="AK32" s="9">
        <f>AH32+AI32-AJ32</f>
        <v/>
      </c>
    </row>
    <row r="33" ht="16.5" customHeight="1" s="21">
      <c r="A33" s="23" t="inlineStr">
        <is>
          <t>2028-12-11</t>
        </is>
      </c>
      <c r="B33" s="2" t="inlineStr">
        <is>
          <t>그린올리브</t>
        </is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9" t="n">
        <v>9</v>
      </c>
      <c r="AI33" s="9" t="n">
        <v>0</v>
      </c>
      <c r="AJ33" s="9">
        <f>SUM(C33:AG33)</f>
        <v/>
      </c>
      <c r="AK33" s="9">
        <f>AH33+AI33-AJ33</f>
        <v/>
      </c>
    </row>
    <row r="34" ht="16.5" customHeight="1" s="21">
      <c r="A34" s="23" t="inlineStr">
        <is>
          <t>2027-11-04</t>
        </is>
      </c>
      <c r="B34" s="2" t="inlineStr">
        <is>
          <t>핫소스</t>
        </is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9" t="n">
        <v>0</v>
      </c>
      <c r="AI34" s="9" t="n">
        <v>0</v>
      </c>
      <c r="AJ34" s="9">
        <f>SUM(C34:AG34)</f>
        <v/>
      </c>
      <c r="AK34" s="9">
        <f>AH34+AI34-AJ34</f>
        <v/>
      </c>
    </row>
    <row r="35" ht="16.5" customHeight="1" s="21">
      <c r="A35" s="23" t="inlineStr">
        <is>
          <t>2027-03-09</t>
        </is>
      </c>
      <c r="B35" s="2" t="inlineStr">
        <is>
          <t>파슬리</t>
        </is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9" t="n">
        <v>0</v>
      </c>
      <c r="AI35" s="9" t="n">
        <v>0</v>
      </c>
      <c r="AJ35" s="9">
        <f>SUM(C35:AG35)</f>
        <v/>
      </c>
      <c r="AK35" s="9">
        <f>AH35+AI35-AJ35</f>
        <v/>
      </c>
    </row>
    <row r="36" ht="16.5" customHeight="1" s="21">
      <c r="A36" s="23" t="inlineStr">
        <is>
          <t>2028-04-25</t>
        </is>
      </c>
      <c r="B36" s="2" t="inlineStr">
        <is>
          <t>오미자차(본사중앙창고)</t>
        </is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  <c r="AD36" s="3" t="n">
        <v>0</v>
      </c>
      <c r="AE36" s="3" t="n">
        <v>0</v>
      </c>
      <c r="AF36" s="3" t="n">
        <v>0</v>
      </c>
      <c r="AG36" s="3" t="n">
        <v>0</v>
      </c>
      <c r="AH36" s="9" t="n">
        <v>45</v>
      </c>
      <c r="AI36" s="9" t="n">
        <v>0</v>
      </c>
      <c r="AJ36" s="9">
        <f>SUM(C36:AG36)</f>
        <v/>
      </c>
      <c r="AK36" s="9">
        <f>AH36+AI36-AJ36</f>
        <v/>
      </c>
    </row>
    <row r="37" ht="16.5" customHeight="1" s="21">
      <c r="A37" s="23" t="inlineStr">
        <is>
          <t>2028-04-25</t>
        </is>
      </c>
      <c r="B37" s="2" t="inlineStr">
        <is>
          <t>밀크티(본사중앙창고)</t>
        </is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</v>
      </c>
      <c r="AH37" s="9" t="n">
        <v>6</v>
      </c>
      <c r="AI37" s="9" t="n">
        <v>0</v>
      </c>
      <c r="AJ37" s="9">
        <f>SUM(C37:AG37)</f>
        <v/>
      </c>
      <c r="AK37" s="9">
        <f>AH37+AI37-AJ37</f>
        <v/>
      </c>
    </row>
    <row r="38" ht="16.5" customHeight="1" s="21">
      <c r="A38" s="23" t="inlineStr">
        <is>
          <t>2026-09-05</t>
        </is>
      </c>
      <c r="B38" s="2" t="inlineStr">
        <is>
          <t>복숭아티</t>
        </is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  <c r="AD38" s="3" t="n">
        <v>0</v>
      </c>
      <c r="AE38" s="3" t="n">
        <v>0</v>
      </c>
      <c r="AF38" s="3" t="n">
        <v>0</v>
      </c>
      <c r="AG38" s="3" t="n">
        <v>0</v>
      </c>
      <c r="AH38" s="9" t="n">
        <v>7</v>
      </c>
      <c r="AI38" s="9" t="n">
        <v>0</v>
      </c>
      <c r="AJ38" s="9">
        <f>SUM(C38:AG38)</f>
        <v/>
      </c>
      <c r="AK38" s="9">
        <f>AH38+AI38-AJ38</f>
        <v/>
      </c>
    </row>
    <row r="39" ht="16.5" customHeight="1" s="21">
      <c r="A39" s="23" t="inlineStr">
        <is>
          <t>2026-11-10</t>
        </is>
      </c>
      <c r="B39" s="2" t="inlineStr">
        <is>
          <t>땅콩버터(Crunchy)</t>
        </is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9" t="n">
        <v>36</v>
      </c>
      <c r="AI39" s="9" t="n">
        <v>0</v>
      </c>
      <c r="AJ39" s="9">
        <f>SUM(C39:AG39)</f>
        <v/>
      </c>
      <c r="AK39" s="9">
        <f>AH39+AI39-AJ39</f>
        <v/>
      </c>
    </row>
    <row r="40" ht="16.5" customHeight="1" s="21">
      <c r="A40" s="23" t="inlineStr">
        <is>
          <t>2026-10-08</t>
        </is>
      </c>
      <c r="B40" s="2" t="inlineStr">
        <is>
          <t>인절미(빙수용)</t>
        </is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  <c r="AD40" s="3" t="n">
        <v>0</v>
      </c>
      <c r="AE40" s="3" t="n">
        <v>0</v>
      </c>
      <c r="AF40" s="3" t="n">
        <v>0</v>
      </c>
      <c r="AG40" s="3" t="n">
        <v>0</v>
      </c>
      <c r="AH40" s="9" t="n">
        <v>1</v>
      </c>
      <c r="AI40" s="9" t="n">
        <v>0</v>
      </c>
      <c r="AJ40" s="9">
        <f>SUM(C40:AG40)</f>
        <v/>
      </c>
      <c r="AK40" s="9">
        <f>AH40+AI40-AJ40</f>
        <v/>
      </c>
    </row>
    <row r="41" ht="16.5" customHeight="1" s="21">
      <c r="A41" s="23" t="inlineStr">
        <is>
          <t>2026-09-06</t>
        </is>
      </c>
      <c r="B41" s="2" t="inlineStr">
        <is>
          <t>커피땅콩</t>
        </is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0</v>
      </c>
      <c r="AF41" s="3" t="n">
        <v>0</v>
      </c>
      <c r="AG41" s="3" t="n">
        <v>0</v>
      </c>
      <c r="AH41" s="9" t="n">
        <v>1</v>
      </c>
      <c r="AI41" s="9" t="n">
        <v>0</v>
      </c>
      <c r="AJ41" s="9">
        <f>SUM(C41:AG41)</f>
        <v/>
      </c>
      <c r="AK41" s="9">
        <f>AH41+AI41-AJ41</f>
        <v/>
      </c>
    </row>
  </sheetData>
  <mergeCells count="1">
    <mergeCell ref="A1:AK1"/>
  </mergeCells>
  <conditionalFormatting sqref="A4:AK4 A5:AG39 AH5:AK41">
    <cfRule type="expression" priority="3" dxfId="0" stopIfTrue="1">
      <formula>AND($A4-TODAY()&lt;=7, $A4-TODAY()&gt;=0)</formula>
    </cfRule>
  </conditionalFormatting>
  <conditionalFormatting sqref="A40:AG40">
    <cfRule type="expression" priority="2" dxfId="0" stopIfTrue="1">
      <formula>AND($A40-TODAY()&lt;=7, $A40-TODAY()&gt;=0)</formula>
    </cfRule>
  </conditionalFormatting>
  <conditionalFormatting sqref="A41:AG41">
    <cfRule type="expression" priority="1" dxfId="0" stopIfTrue="1">
      <formula>AND($A41-TODAY()&lt;=7, $A41-TODAY()&gt;=0)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3"/>
  <sheetViews>
    <sheetView workbookViewId="0">
      <pane xSplit="2" ySplit="3" topLeftCell="C4" activePane="bottomRight" state="frozen"/>
      <selection activeCell="G83" sqref="G83"/>
      <selection pane="topRight" activeCell="G83" sqref="G83"/>
      <selection pane="bottomLeft" activeCell="G83" sqref="G83"/>
      <selection pane="bottomRight" activeCell="G83" sqref="G83"/>
    </sheetView>
  </sheetViews>
  <sheetFormatPr baseColWidth="8" defaultRowHeight="16.5"/>
  <cols>
    <col width="14.875" customWidth="1" style="21" min="1" max="1"/>
    <col width="24" customWidth="1" style="21" min="2" max="2"/>
    <col width="5" customWidth="1" style="21" min="3" max="33"/>
    <col width="9" customWidth="1" style="21" min="34" max="37"/>
  </cols>
  <sheetData>
    <row r="1" ht="16.5" customHeight="1" s="21">
      <c r="A1" s="20" t="inlineStr">
        <is>
          <t>VINI COFFEE 안락동점 월간 식자재 수불 대장 (81개 전품목 연동)</t>
        </is>
      </c>
    </row>
    <row r="2" ht="16.5" customHeight="1" s="21"/>
    <row r="3" ht="25.5" customHeight="1" s="21">
      <c r="A3" s="1" t="inlineStr">
        <is>
          <t>유통기간</t>
        </is>
      </c>
      <c r="B3" s="1" t="inlineStr">
        <is>
          <t>구 분(발주처)</t>
        </is>
      </c>
      <c r="C3" s="1" t="inlineStr">
        <is>
          <t>1일</t>
        </is>
      </c>
      <c r="D3" s="1" t="inlineStr">
        <is>
          <t>2일</t>
        </is>
      </c>
      <c r="E3" s="1" t="inlineStr">
        <is>
          <t>3일</t>
        </is>
      </c>
      <c r="F3" s="1" t="inlineStr">
        <is>
          <t>4일</t>
        </is>
      </c>
      <c r="G3" s="1" t="inlineStr">
        <is>
          <t>5일</t>
        </is>
      </c>
      <c r="H3" s="1" t="inlineStr">
        <is>
          <t>6일</t>
        </is>
      </c>
      <c r="I3" s="1" t="inlineStr">
        <is>
          <t>7일</t>
        </is>
      </c>
      <c r="J3" s="1" t="inlineStr">
        <is>
          <t>8일</t>
        </is>
      </c>
      <c r="K3" s="1" t="inlineStr">
        <is>
          <t>9일</t>
        </is>
      </c>
      <c r="L3" s="1" t="inlineStr">
        <is>
          <t>10일</t>
        </is>
      </c>
      <c r="M3" s="1" t="inlineStr">
        <is>
          <t>11일</t>
        </is>
      </c>
      <c r="N3" s="1" t="inlineStr">
        <is>
          <t>12일</t>
        </is>
      </c>
      <c r="O3" s="1" t="inlineStr">
        <is>
          <t>13일</t>
        </is>
      </c>
      <c r="P3" s="1" t="inlineStr">
        <is>
          <t>14일</t>
        </is>
      </c>
      <c r="Q3" s="1" t="inlineStr">
        <is>
          <t>15일</t>
        </is>
      </c>
      <c r="R3" s="1" t="inlineStr">
        <is>
          <t>16일</t>
        </is>
      </c>
      <c r="S3" s="1" t="inlineStr">
        <is>
          <t>17일</t>
        </is>
      </c>
      <c r="T3" s="1" t="inlineStr">
        <is>
          <t>18일</t>
        </is>
      </c>
      <c r="U3" s="1" t="inlineStr">
        <is>
          <t>19일</t>
        </is>
      </c>
      <c r="V3" s="1" t="inlineStr">
        <is>
          <t>20일</t>
        </is>
      </c>
      <c r="W3" s="1" t="inlineStr">
        <is>
          <t>21일</t>
        </is>
      </c>
      <c r="X3" s="1" t="inlineStr">
        <is>
          <t>22일</t>
        </is>
      </c>
      <c r="Y3" s="1" t="inlineStr">
        <is>
          <t>23일</t>
        </is>
      </c>
      <c r="Z3" s="1" t="inlineStr">
        <is>
          <t>24일</t>
        </is>
      </c>
      <c r="AA3" s="1" t="inlineStr">
        <is>
          <t>25일</t>
        </is>
      </c>
      <c r="AB3" s="1" t="inlineStr">
        <is>
          <t>26일</t>
        </is>
      </c>
      <c r="AC3" s="1" t="inlineStr">
        <is>
          <t>27일</t>
        </is>
      </c>
      <c r="AD3" s="1" t="inlineStr">
        <is>
          <t>28일</t>
        </is>
      </c>
      <c r="AE3" s="1" t="inlineStr">
        <is>
          <t>29일</t>
        </is>
      </c>
      <c r="AF3" s="1" t="inlineStr">
        <is>
          <t>30일</t>
        </is>
      </c>
      <c r="AG3" s="1" t="inlineStr">
        <is>
          <t>31일</t>
        </is>
      </c>
      <c r="AH3" s="1" t="inlineStr">
        <is>
          <t>전월 재고</t>
        </is>
      </c>
      <c r="AI3" s="1" t="inlineStr">
        <is>
          <t>금월 입고</t>
        </is>
      </c>
      <c r="AJ3" s="1" t="inlineStr">
        <is>
          <t>월 소모 합계</t>
        </is>
      </c>
      <c r="AK3" s="1" t="inlineStr">
        <is>
          <t>현 재고</t>
        </is>
      </c>
    </row>
    <row r="4" ht="16.5" customHeight="1" s="21">
      <c r="A4" s="6" t="n"/>
      <c r="B4" s="2" t="inlineStr">
        <is>
          <t>아이스 컵(메가)  (줄)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  <c r="AG4" s="3" t="n">
        <v>0</v>
      </c>
      <c r="AH4" s="4" t="n">
        <v>0</v>
      </c>
      <c r="AI4" s="4" t="n">
        <v>47</v>
      </c>
      <c r="AJ4" s="4">
        <f>SUM(C51:AG51)</f>
        <v/>
      </c>
      <c r="AK4" s="4">
        <f>AH51+AI51-AJ51</f>
        <v/>
      </c>
    </row>
    <row r="5" ht="16.5" customHeight="1" s="21">
      <c r="A5" s="6" t="n"/>
      <c r="B5" s="2" t="inlineStr">
        <is>
          <t>핫 컵  (줄)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4" t="n">
        <v>0</v>
      </c>
      <c r="AI5" s="4" t="n">
        <v>24</v>
      </c>
      <c r="AJ5" s="4">
        <f>SUM(C52:AG52)</f>
        <v/>
      </c>
      <c r="AK5" s="4">
        <f>AH52+AI52-AJ52</f>
        <v/>
      </c>
    </row>
    <row r="6" ht="16.5" customHeight="1" s="21">
      <c r="A6" s="6" t="n"/>
      <c r="B6" s="2" t="inlineStr">
        <is>
          <t>핫 두껑 (줄)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4" t="n">
        <v>0</v>
      </c>
      <c r="AI6" s="4" t="n">
        <v>15</v>
      </c>
      <c r="AJ6" s="4">
        <f>SUM(C53:AG53)</f>
        <v/>
      </c>
      <c r="AK6" s="4">
        <f>AH53+AI53-AJ53</f>
        <v/>
      </c>
    </row>
    <row r="7" ht="16.5" customHeight="1" s="21">
      <c r="A7" s="6" t="n"/>
      <c r="B7" s="2" t="inlineStr">
        <is>
          <t>아이스 뚜껑(98파이-메가)  (줄)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4" t="n">
        <v>0</v>
      </c>
      <c r="AI7" s="4" t="n">
        <v>28</v>
      </c>
      <c r="AJ7" s="4">
        <f>SUM(C54:AG54)</f>
        <v/>
      </c>
      <c r="AK7" s="4">
        <f>AH54+AI54-AJ54</f>
        <v/>
      </c>
    </row>
    <row r="8" ht="16.5" customHeight="1" s="21">
      <c r="A8" s="6" t="n"/>
      <c r="B8" s="2" t="inlineStr">
        <is>
          <t>스무디 뚜껑(98파이-메가)  (줄)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4" t="n">
        <v>0</v>
      </c>
      <c r="AI8" s="4" t="n">
        <v>20</v>
      </c>
      <c r="AJ8" s="4">
        <f>SUM(C55:AG55)</f>
        <v/>
      </c>
      <c r="AK8" s="4">
        <f>AH55+AI55-AJ55</f>
        <v/>
      </c>
    </row>
    <row r="9" ht="16.5" customHeight="1" s="21">
      <c r="A9" s="6" t="n"/>
      <c r="B9" s="2" t="inlineStr">
        <is>
          <t>아이스 컵(메가) 14oz  (줄)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4" t="n">
        <v>0</v>
      </c>
      <c r="AI9" s="4" t="n">
        <v>9</v>
      </c>
      <c r="AJ9" s="4">
        <f>SUM(C56:AG56)</f>
        <v/>
      </c>
      <c r="AK9" s="4">
        <f>AH56+AI56-AJ56</f>
        <v/>
      </c>
    </row>
    <row r="10" ht="16.5" customHeight="1" s="21">
      <c r="A10" s="6" t="n"/>
      <c r="B10" s="2" t="inlineStr">
        <is>
          <t>컵홀더(본사중앙창고)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4" t="n">
        <v>0</v>
      </c>
      <c r="AI10" s="4" t="n">
        <v>45</v>
      </c>
      <c r="AJ10" s="4">
        <f>SUM(C57:AG57)</f>
        <v/>
      </c>
      <c r="AK10" s="4">
        <f>AH57+AI57-AJ57</f>
        <v/>
      </c>
    </row>
    <row r="11" ht="16.5" customHeight="1" s="21">
      <c r="A11" s="6" t="n"/>
      <c r="B11" s="2" t="inlineStr">
        <is>
          <t>빨대 (소) 커피용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4" t="n">
        <v>0</v>
      </c>
      <c r="AI11" s="4" t="n">
        <v>0</v>
      </c>
      <c r="AJ11" s="4">
        <f>SUM(C58:AG58)</f>
        <v/>
      </c>
      <c r="AK11" s="4">
        <f>AH58+AI58-AJ58</f>
        <v/>
      </c>
    </row>
    <row r="12" ht="16.5" customHeight="1" s="21">
      <c r="A12" s="6" t="n"/>
      <c r="B12" s="2" t="inlineStr">
        <is>
          <t>빨대 (대) 스무디용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4" t="n">
        <v>0</v>
      </c>
      <c r="AI12" s="4" t="n">
        <v>0</v>
      </c>
      <c r="AJ12" s="4">
        <f>SUM(C59:AG59)</f>
        <v/>
      </c>
      <c r="AK12" s="4">
        <f>AH59+AI59-AJ59</f>
        <v/>
      </c>
    </row>
    <row r="13" ht="16.5" customHeight="1" s="21">
      <c r="A13" s="6" t="n"/>
      <c r="B13" s="2" t="inlineStr">
        <is>
          <t>세정제 커피 클린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4" t="n">
        <v>0</v>
      </c>
      <c r="AI13" s="4" t="n">
        <v>0</v>
      </c>
      <c r="AJ13" s="4">
        <f>SUM(C60:AG60)</f>
        <v/>
      </c>
      <c r="AK13" s="4">
        <f>AH60+AI60-AJ60</f>
        <v/>
      </c>
    </row>
  </sheetData>
  <mergeCells count="1">
    <mergeCell ref="A1:AK1"/>
  </mergeCells>
  <conditionalFormatting sqref="A4:AK13">
    <cfRule type="expression" priority="1" dxfId="0" stopIfTrue="1">
      <formula>AND($A4-TODAY()&lt;=7, $A4-TODAY()&gt;=0)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6"/>
  <sheetViews>
    <sheetView tabSelected="1" workbookViewId="0">
      <pane xSplit="2" ySplit="3" topLeftCell="C22" activePane="bottomRight" state="frozen"/>
      <selection activeCell="G83" sqref="G83"/>
      <selection pane="topRight" activeCell="G83" sqref="G83"/>
      <selection pane="bottomLeft" activeCell="G83" sqref="G83"/>
      <selection pane="bottomRight" activeCell="AJ5" sqref="AJ5:AJ35"/>
    </sheetView>
  </sheetViews>
  <sheetFormatPr baseColWidth="8" defaultRowHeight="16.5"/>
  <cols>
    <col width="16" customWidth="1" style="21" min="1" max="1"/>
    <col width="24" customWidth="1" style="21" min="2" max="2"/>
    <col width="4.5" customWidth="1" style="21" min="3" max="33"/>
    <col width="10.5" customWidth="1" style="21" min="34" max="37"/>
  </cols>
  <sheetData>
    <row r="1" ht="16.5" customHeight="1" s="21">
      <c r="A1" s="20" t="inlineStr">
        <is>
          <t>VINI COFFEE 안락동점 월간 식자재 수불 대장 (81개 전품목 연동)</t>
        </is>
      </c>
    </row>
    <row r="2" ht="16.5" customHeight="1" s="21"/>
    <row r="3" ht="25.5" customHeight="1" s="21">
      <c r="A3" s="1" t="inlineStr">
        <is>
          <t>유통기간</t>
        </is>
      </c>
      <c r="B3" s="1" t="inlineStr">
        <is>
          <t>구 분(발주처)</t>
        </is>
      </c>
      <c r="C3" s="1" t="inlineStr">
        <is>
          <t>1일</t>
        </is>
      </c>
      <c r="D3" s="1" t="inlineStr">
        <is>
          <t>2일</t>
        </is>
      </c>
      <c r="E3" s="1" t="inlineStr">
        <is>
          <t>3일</t>
        </is>
      </c>
      <c r="F3" s="1" t="inlineStr">
        <is>
          <t>4일</t>
        </is>
      </c>
      <c r="G3" s="1" t="inlineStr">
        <is>
          <t>5일</t>
        </is>
      </c>
      <c r="H3" s="1" t="inlineStr">
        <is>
          <t>6일</t>
        </is>
      </c>
      <c r="I3" s="1" t="inlineStr">
        <is>
          <t>7일</t>
        </is>
      </c>
      <c r="J3" s="1" t="inlineStr">
        <is>
          <t>8일</t>
        </is>
      </c>
      <c r="K3" s="1" t="inlineStr">
        <is>
          <t>9일</t>
        </is>
      </c>
      <c r="L3" s="1" t="inlineStr">
        <is>
          <t>10일</t>
        </is>
      </c>
      <c r="M3" s="1" t="inlineStr">
        <is>
          <t>11일</t>
        </is>
      </c>
      <c r="N3" s="1" t="inlineStr">
        <is>
          <t>12일</t>
        </is>
      </c>
      <c r="O3" s="1" t="inlineStr">
        <is>
          <t>13일</t>
        </is>
      </c>
      <c r="P3" s="1" t="inlineStr">
        <is>
          <t>14일</t>
        </is>
      </c>
      <c r="Q3" s="1" t="inlineStr">
        <is>
          <t>15일</t>
        </is>
      </c>
      <c r="R3" s="1" t="inlineStr">
        <is>
          <t>16일</t>
        </is>
      </c>
      <c r="S3" s="1" t="inlineStr">
        <is>
          <t>17일</t>
        </is>
      </c>
      <c r="T3" s="1" t="inlineStr">
        <is>
          <t>18일</t>
        </is>
      </c>
      <c r="U3" s="1" t="inlineStr">
        <is>
          <t>19일</t>
        </is>
      </c>
      <c r="V3" s="1" t="inlineStr">
        <is>
          <t>20일</t>
        </is>
      </c>
      <c r="W3" s="1" t="inlineStr">
        <is>
          <t>21일</t>
        </is>
      </c>
      <c r="X3" s="1" t="inlineStr">
        <is>
          <t>22일</t>
        </is>
      </c>
      <c r="Y3" s="1" t="inlineStr">
        <is>
          <t>23일</t>
        </is>
      </c>
      <c r="Z3" s="1" t="inlineStr">
        <is>
          <t>24일</t>
        </is>
      </c>
      <c r="AA3" s="1" t="inlineStr">
        <is>
          <t>25일</t>
        </is>
      </c>
      <c r="AB3" s="1" t="inlineStr">
        <is>
          <t>26일</t>
        </is>
      </c>
      <c r="AC3" s="1" t="inlineStr">
        <is>
          <t>27일</t>
        </is>
      </c>
      <c r="AD3" s="1" t="inlineStr">
        <is>
          <t>28일</t>
        </is>
      </c>
      <c r="AE3" s="1" t="inlineStr">
        <is>
          <t>29일</t>
        </is>
      </c>
      <c r="AF3" s="1" t="inlineStr">
        <is>
          <t>30일</t>
        </is>
      </c>
      <c r="AG3" s="1" t="inlineStr">
        <is>
          <t>31일</t>
        </is>
      </c>
      <c r="AH3" s="1" t="inlineStr">
        <is>
          <t>전월 재고</t>
        </is>
      </c>
      <c r="AI3" s="1" t="inlineStr">
        <is>
          <t>금월 입고</t>
        </is>
      </c>
      <c r="AJ3" s="1" t="inlineStr">
        <is>
          <t>월 소모 합계</t>
        </is>
      </c>
      <c r="AK3" s="1" t="inlineStr">
        <is>
          <t>현 재고</t>
        </is>
      </c>
    </row>
    <row r="4"/>
    <row r="5" ht="16.5" customHeight="1" s="21">
      <c r="A5" s="23" t="inlineStr">
        <is>
          <t>2026-09-29</t>
        </is>
      </c>
      <c r="B5" s="2" t="inlineStr">
        <is>
          <t>고르곤졸라피자(시카고)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4" t="n">
        <v>29</v>
      </c>
      <c r="AI5" s="4" t="n">
        <v>0</v>
      </c>
      <c r="AJ5" s="4">
        <f>SUM(C5:AG5)</f>
        <v/>
      </c>
      <c r="AK5" s="4">
        <f>AH5+AI5-AJ5</f>
        <v/>
      </c>
    </row>
    <row r="6" ht="16.5" customHeight="1" s="21">
      <c r="A6" s="23" t="inlineStr">
        <is>
          <t>2026-09-22</t>
        </is>
      </c>
      <c r="B6" s="2" t="inlineStr">
        <is>
          <t>치킨 피자(시카고)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4" t="n">
        <v>29</v>
      </c>
      <c r="AI6" s="4" t="n">
        <v>0</v>
      </c>
      <c r="AJ6" s="4">
        <f>SUM(C6:AG6)</f>
        <v/>
      </c>
      <c r="AK6" s="4">
        <f>AH6+AI6-AJ6</f>
        <v/>
      </c>
    </row>
    <row r="7" ht="16.5" customHeight="1" s="21">
      <c r="A7" s="23" t="inlineStr">
        <is>
          <t>2026-09-01</t>
        </is>
      </c>
      <c r="B7" s="2" t="inlineStr">
        <is>
          <t>페페로니 피자(시카고)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4" t="n">
        <v>32</v>
      </c>
      <c r="AI7" s="4" t="n">
        <v>0</v>
      </c>
      <c r="AJ7" s="4">
        <f>SUM(C7:AG7)</f>
        <v/>
      </c>
      <c r="AK7" s="4">
        <f>AH7+AI7-AJ7</f>
        <v/>
      </c>
    </row>
    <row r="8" ht="16.5" customHeight="1" s="21">
      <c r="A8" s="23" t="inlineStr">
        <is>
          <t>2026-10-26</t>
        </is>
      </c>
      <c r="B8" s="2" t="inlineStr">
        <is>
          <t>콤비네이션  씬피자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4" t="n">
        <v>6</v>
      </c>
      <c r="AI8" s="4" t="n">
        <v>0</v>
      </c>
      <c r="AJ8" s="4">
        <f>SUM(C8:AG8)</f>
        <v/>
      </c>
      <c r="AK8" s="4">
        <f>AH8+AI8-AJ8</f>
        <v/>
      </c>
    </row>
    <row r="9" ht="16.5" customHeight="1" s="21">
      <c r="A9" s="23" t="inlineStr">
        <is>
          <t>2026-10-26</t>
        </is>
      </c>
      <c r="B9" s="2" t="inlineStr">
        <is>
          <t>고르곤존라  씬피자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4" t="n">
        <v>6</v>
      </c>
      <c r="AI9" s="4" t="n">
        <v>0</v>
      </c>
      <c r="AJ9" s="4">
        <f>SUM(C9:AG9)</f>
        <v/>
      </c>
      <c r="AK9" s="4">
        <f>AH9+AI9-AJ9</f>
        <v/>
      </c>
    </row>
    <row r="10" ht="16.5" customHeight="1" s="21">
      <c r="A10" s="23" t="inlineStr">
        <is>
          <t>2026-10-08</t>
        </is>
      </c>
      <c r="B10" s="2" t="inlineStr">
        <is>
          <t>불고기  씬피자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4" t="n">
        <v>10</v>
      </c>
      <c r="AI10" s="4" t="n">
        <v>0</v>
      </c>
      <c r="AJ10" s="4">
        <f>SUM(C10:AG10)</f>
        <v/>
      </c>
      <c r="AK10" s="4">
        <f>AH10+AI10-AJ10</f>
        <v/>
      </c>
    </row>
    <row r="11" ht="16.5" customHeight="1" s="21">
      <c r="A11" s="23" t="inlineStr">
        <is>
          <t>2028-01-08</t>
        </is>
      </c>
      <c r="B11" s="2" t="inlineStr">
        <is>
          <t>시세 치킨 윙(네이버)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4" t="n">
        <v>3</v>
      </c>
      <c r="AI11" s="4" t="n">
        <v>0</v>
      </c>
      <c r="AJ11" s="4">
        <f>SUM(C11:AG11)</f>
        <v/>
      </c>
      <c r="AK11" s="4">
        <f>AH11+AI11-AJ11</f>
        <v/>
      </c>
    </row>
    <row r="12" ht="16.5" customHeight="1" s="21">
      <c r="A12" s="23" t="inlineStr">
        <is>
          <t>2027-12-24</t>
        </is>
      </c>
      <c r="B12" s="2" t="inlineStr">
        <is>
          <t>시세 치킨 봉(네이버)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4" t="n">
        <v>2</v>
      </c>
      <c r="AI12" s="4" t="n">
        <v>0</v>
      </c>
      <c r="AJ12" s="4">
        <f>SUM(C12:AG12)</f>
        <v/>
      </c>
      <c r="AK12" s="4">
        <f>AH12+AI12-AJ12</f>
        <v/>
      </c>
    </row>
    <row r="13" ht="16.5" customHeight="1" s="21">
      <c r="A13" s="23" t="inlineStr">
        <is>
          <t>2028-03-23</t>
        </is>
      </c>
      <c r="B13" s="2" t="inlineStr">
        <is>
          <t>점보 매콤닭다리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4" t="n">
        <v>6</v>
      </c>
      <c r="AI13" s="4" t="n">
        <v>0</v>
      </c>
      <c r="AJ13" s="4">
        <f>SUM(C13:AG13)</f>
        <v/>
      </c>
      <c r="AK13" s="4">
        <f>AH13+AI13-AJ13</f>
        <v/>
      </c>
    </row>
    <row r="14" ht="16.5" customHeight="1" s="21">
      <c r="A14" s="23" t="inlineStr">
        <is>
          <t>2026-07-21</t>
        </is>
      </c>
      <c r="B14" s="2" t="inlineStr">
        <is>
          <t>까르보나라 파스타(쉐프엠-온라인)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4" t="n">
        <v>5</v>
      </c>
      <c r="AI14" s="4" t="n">
        <v>0</v>
      </c>
      <c r="AJ14" s="4">
        <f>SUM(C14:AG14)</f>
        <v/>
      </c>
      <c r="AK14" s="4">
        <f>AH14+AI14-AJ14</f>
        <v/>
      </c>
    </row>
    <row r="15" ht="16.5" customHeight="1" s="21">
      <c r="A15" s="23" t="inlineStr">
        <is>
          <t>2026-07-17</t>
        </is>
      </c>
      <c r="B15" s="2" t="inlineStr">
        <is>
          <t>투움바 파스타(쉐프엠-온라인)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4" t="n">
        <v>4</v>
      </c>
      <c r="AI15" s="4" t="n">
        <v>0</v>
      </c>
      <c r="AJ15" s="4">
        <f>SUM(C15:AG15)</f>
        <v/>
      </c>
      <c r="AK15" s="4">
        <f>AH15+AI15-AJ15</f>
        <v/>
      </c>
    </row>
    <row r="16" ht="16.5" customHeight="1" s="21">
      <c r="A16" s="23" t="inlineStr">
        <is>
          <t>2026-07-17</t>
        </is>
      </c>
      <c r="B16" s="2" t="inlineStr">
        <is>
          <t>라구파스타(쉐프엠- 온라인)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4" t="n">
        <v>4</v>
      </c>
      <c r="AI16" s="4" t="n">
        <v>0</v>
      </c>
      <c r="AJ16" s="4">
        <f>SUM(C16:AG16)</f>
        <v/>
      </c>
      <c r="AK16" s="4">
        <f>AH16+AI16-AJ16</f>
        <v/>
      </c>
    </row>
    <row r="17" ht="16.5" customHeight="1" s="21">
      <c r="A17" s="23" t="inlineStr">
        <is>
          <t>2026-11-18</t>
        </is>
      </c>
      <c r="B17" s="2" t="inlineStr">
        <is>
          <t>소불고기 볶음밥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4" t="n">
        <v>13</v>
      </c>
      <c r="AI17" s="4" t="n">
        <v>0</v>
      </c>
      <c r="AJ17" s="4">
        <f>SUM(C17:AG17)</f>
        <v/>
      </c>
      <c r="AK17" s="4">
        <f>AH17+AI17-AJ17</f>
        <v/>
      </c>
    </row>
    <row r="18" ht="16.5" customHeight="1" s="21">
      <c r="A18" s="23" t="inlineStr">
        <is>
          <t>2026-11-18</t>
        </is>
      </c>
      <c r="B18" s="2" t="inlineStr">
        <is>
          <t>대패삼겹살볶음밥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4" t="n">
        <v>0</v>
      </c>
      <c r="AI18" s="4" t="n">
        <v>0</v>
      </c>
      <c r="AJ18" s="4">
        <f>SUM(C18:AG18)</f>
        <v/>
      </c>
      <c r="AK18" s="4">
        <f>AH18+AI18-AJ18</f>
        <v/>
      </c>
    </row>
    <row r="19" ht="16.5" customHeight="1" s="21">
      <c r="A19" s="23" t="inlineStr">
        <is>
          <t>2026-11-18</t>
        </is>
      </c>
      <c r="B19" s="2" t="inlineStr">
        <is>
          <t>간장버터계란밥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4" t="n">
        <v>0</v>
      </c>
      <c r="AI19" s="4" t="n">
        <v>0</v>
      </c>
      <c r="AJ19" s="4">
        <f>SUM(C19:AG19)</f>
        <v/>
      </c>
      <c r="AK19" s="4">
        <f>AH19+AI19-AJ19</f>
        <v/>
      </c>
    </row>
    <row r="20" ht="16.5" customHeight="1" s="21">
      <c r="A20" s="26" t="n"/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4" t="n">
        <v>0</v>
      </c>
      <c r="AI20" s="4" t="n">
        <v>0</v>
      </c>
      <c r="AJ20" s="4">
        <f>SUM(C20:AG20)</f>
        <v/>
      </c>
      <c r="AK20" s="4">
        <f>AH20+AI20-AJ20</f>
        <v/>
      </c>
    </row>
    <row r="21" ht="16.5" customHeight="1" s="21">
      <c r="A21" s="23" t="inlineStr">
        <is>
          <t>2027-01-03</t>
        </is>
      </c>
      <c r="B21" s="2" t="inlineStr">
        <is>
          <t>얼그레이 곰돌(파미유-절판)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4" t="n">
        <v>0</v>
      </c>
      <c r="AI21" s="4" t="n">
        <v>0</v>
      </c>
      <c r="AJ21" s="4">
        <f>SUM(C21:AG21)</f>
        <v/>
      </c>
      <c r="AK21" s="4">
        <f>AH21+AI21-AJ21</f>
        <v/>
      </c>
    </row>
    <row r="22" ht="16.5" customHeight="1" s="21">
      <c r="A22" s="27" t="inlineStr">
        <is>
          <t>2026-06-19 00:00:00</t>
        </is>
      </c>
      <c r="B22" s="5" t="inlineStr">
        <is>
          <t>카라멜 곰돌이 마들렌(파미유)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0</v>
      </c>
      <c r="AG22" s="3" t="n">
        <v>0</v>
      </c>
      <c r="AH22" s="4" t="n">
        <v>5</v>
      </c>
      <c r="AI22" s="4" t="n">
        <v>0</v>
      </c>
      <c r="AJ22" s="4">
        <f>SUM(C22:AG22)</f>
        <v/>
      </c>
      <c r="AK22" s="4">
        <f>AH22+AI22-AJ22</f>
        <v/>
      </c>
    </row>
    <row r="23" ht="16.5" customHeight="1" s="21">
      <c r="A23" s="23" t="inlineStr">
        <is>
          <t>2027-01-10</t>
        </is>
      </c>
      <c r="B23" s="2" t="inlineStr">
        <is>
          <t>초코 곰돌이 마들렌(파미유)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0</v>
      </c>
      <c r="AF23" s="3" t="n">
        <v>0</v>
      </c>
      <c r="AG23" s="3" t="n">
        <v>0</v>
      </c>
      <c r="AH23" s="4" t="n">
        <v>15</v>
      </c>
      <c r="AI23" s="4" t="n">
        <v>0</v>
      </c>
      <c r="AJ23" s="4">
        <f>SUM(C23:AG23)</f>
        <v/>
      </c>
      <c r="AK23" s="4">
        <f>AH23+AI23-AJ23</f>
        <v/>
      </c>
    </row>
    <row r="24" ht="16.5" customHeight="1" s="21">
      <c r="A24" s="23" t="inlineStr">
        <is>
          <t>2027-01-03</t>
        </is>
      </c>
      <c r="B24" s="2" t="inlineStr">
        <is>
          <t>플레인 곰돌이 마늘렌(파미유)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4" t="n">
        <v>12</v>
      </c>
      <c r="AI24" s="4" t="n">
        <v>0</v>
      </c>
      <c r="AJ24" s="4">
        <f>SUM(C24:AG24)</f>
        <v/>
      </c>
      <c r="AK24" s="4">
        <f>AH24+AI24-AJ24</f>
        <v/>
      </c>
    </row>
    <row r="25" ht="16.5" customHeight="1" s="21">
      <c r="A25" s="23" t="inlineStr">
        <is>
          <t>2027-01-27</t>
        </is>
      </c>
      <c r="B25" s="2" t="inlineStr">
        <is>
          <t>치즈 스틱케이(파미유)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4" t="n">
        <v>10</v>
      </c>
      <c r="AI25" s="4" t="n">
        <v>0</v>
      </c>
      <c r="AJ25" s="4">
        <f>SUM(C25:AG25)</f>
        <v/>
      </c>
      <c r="AK25" s="4">
        <f>AH25+AI25-AJ25</f>
        <v/>
      </c>
    </row>
    <row r="26" ht="16.5" customHeight="1" s="21">
      <c r="A26" s="23" t="inlineStr">
        <is>
          <t>2027-01-06</t>
        </is>
      </c>
      <c r="B26" s="2" t="inlineStr">
        <is>
          <t>쿠키앤치즈 스틱케이(파미유)</t>
        </is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4" t="n">
        <v>11</v>
      </c>
      <c r="AI26" s="4" t="n">
        <v>0</v>
      </c>
      <c r="AJ26" s="4">
        <f>SUM(C26:AG26)</f>
        <v/>
      </c>
      <c r="AK26" s="4">
        <f>AH26+AI26-AJ26</f>
        <v/>
      </c>
    </row>
    <row r="27" ht="16.5" customHeight="1" s="21">
      <c r="A27" s="23" t="inlineStr">
        <is>
          <t>2026-08-24</t>
        </is>
      </c>
      <c r="B27" s="2" t="inlineStr">
        <is>
          <t>링도넛츠 -초코(파미유)</t>
        </is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  <c r="AG27" s="3" t="n">
        <v>0</v>
      </c>
      <c r="AH27" s="4" t="n">
        <v>31</v>
      </c>
      <c r="AI27" s="4" t="n">
        <v>0</v>
      </c>
      <c r="AJ27" s="4">
        <f>SUM(C27:AG27)</f>
        <v/>
      </c>
      <c r="AK27" s="4">
        <f>AH27+AI27-AJ27</f>
        <v/>
      </c>
    </row>
    <row r="28" ht="16.5" customHeight="1" s="21">
      <c r="A28" s="23" t="inlineStr">
        <is>
          <t>2026-09-13</t>
        </is>
      </c>
      <c r="B28" s="2" t="inlineStr">
        <is>
          <t>링도넛츠 -글레이츠(파미유)</t>
        </is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4" t="n">
        <v>40</v>
      </c>
      <c r="AI28" s="4" t="n">
        <v>0</v>
      </c>
      <c r="AJ28" s="4">
        <f>SUM(C28:AG28)</f>
        <v/>
      </c>
      <c r="AK28" s="4">
        <f>AH28+AI28-AJ28</f>
        <v/>
      </c>
    </row>
    <row r="29" ht="16.5" customHeight="1" s="21">
      <c r="A29" s="23" t="inlineStr">
        <is>
          <t>2026-10-08</t>
        </is>
      </c>
      <c r="B29" s="2" t="inlineStr">
        <is>
          <t>카야 대만샌드위치(파미유)</t>
        </is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  <c r="AD29" s="3" t="n">
        <v>0</v>
      </c>
      <c r="AE29" s="3" t="n">
        <v>0</v>
      </c>
      <c r="AF29" s="3" t="n">
        <v>0</v>
      </c>
      <c r="AG29" s="3" t="n">
        <v>0</v>
      </c>
      <c r="AH29" s="4" t="n">
        <v>6</v>
      </c>
      <c r="AI29" s="4" t="n">
        <v>0</v>
      </c>
      <c r="AJ29" s="4">
        <f>SUM(C29:AG29)</f>
        <v/>
      </c>
      <c r="AK29" s="4">
        <f>AH29+AI29-AJ29</f>
        <v/>
      </c>
    </row>
    <row r="30">
      <c r="A30" s="23" t="inlineStr">
        <is>
          <t>2026-10-08</t>
        </is>
      </c>
      <c r="B30" s="2" t="inlineStr">
        <is>
          <t>햄치즈 대만샌드위치(파미유)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4" t="n">
        <v>20</v>
      </c>
      <c r="AI30" s="4" t="n">
        <v>0</v>
      </c>
      <c r="AJ30" s="4">
        <f>SUM(C30:AG30)</f>
        <v/>
      </c>
      <c r="AK30" s="4">
        <f>AH30+AI30-AJ30</f>
        <v/>
      </c>
    </row>
    <row r="31" ht="16.5" customHeight="1" s="21">
      <c r="A31" s="26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4" t="n">
        <v>0</v>
      </c>
      <c r="AI31" s="4" t="n">
        <v>0</v>
      </c>
      <c r="AJ31" s="4">
        <f>SUM(C31:AG31)</f>
        <v/>
      </c>
      <c r="AK31" s="4">
        <f>AH31+AI31-AJ31</f>
        <v/>
      </c>
    </row>
    <row r="32" ht="16.5" customHeight="1" s="21">
      <c r="A32" s="23" t="inlineStr">
        <is>
          <t>2026-11-03</t>
        </is>
      </c>
      <c r="B32" s="2" t="inlineStr">
        <is>
          <t>마카다미아</t>
        </is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4" t="n">
        <v>14</v>
      </c>
      <c r="AI32" s="4" t="n">
        <v>0</v>
      </c>
      <c r="AJ32" s="4">
        <f>SUM(C32:AG32)</f>
        <v/>
      </c>
      <c r="AK32" s="4">
        <f>AH32+AI32-AJ32</f>
        <v/>
      </c>
    </row>
    <row r="33" ht="16.5" customHeight="1" s="21">
      <c r="A33" s="23" t="inlineStr">
        <is>
          <t>2027-10-16</t>
        </is>
      </c>
      <c r="B33" s="2" t="inlineStr">
        <is>
          <t>초코렛</t>
        </is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4" t="n">
        <v>26</v>
      </c>
      <c r="AI33" s="4" t="n">
        <v>0</v>
      </c>
      <c r="AJ33" s="4">
        <f>SUM(C33:AG33)</f>
        <v/>
      </c>
      <c r="AK33" s="4">
        <f>AH33+AI33-AJ33</f>
        <v/>
      </c>
    </row>
    <row r="34" ht="16.5" customHeight="1" s="21">
      <c r="A34" s="23" t="inlineStr">
        <is>
          <t>2026-11-26</t>
        </is>
      </c>
      <c r="B34" s="2" t="inlineStr">
        <is>
          <t>아몬드(빙수)</t>
        </is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4" t="n">
        <v>0</v>
      </c>
      <c r="AI34" s="4" t="n">
        <v>0</v>
      </c>
      <c r="AJ34" s="4">
        <f>SUM(C34:AG34)</f>
        <v/>
      </c>
      <c r="AK34" s="4">
        <f>AH34+AI34-AJ34</f>
        <v/>
      </c>
    </row>
    <row r="35" ht="16.5" customHeight="1" s="21">
      <c r="A35" s="23" t="n"/>
      <c r="B35" s="2" t="inlineStr">
        <is>
          <t>떡볶이</t>
        </is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4" t="n">
        <v>0</v>
      </c>
      <c r="AI35" s="4" t="n">
        <v>0</v>
      </c>
      <c r="AJ35" s="4">
        <f>SUM(C35:AG35)</f>
        <v/>
      </c>
      <c r="AK35" s="4">
        <f>AH35+AI35-AJ35</f>
        <v/>
      </c>
    </row>
    <row r="36">
      <c r="AK36" s="4" t="n"/>
    </row>
  </sheetData>
  <mergeCells count="1">
    <mergeCell ref="A1:AK1"/>
  </mergeCells>
  <conditionalFormatting sqref="A5:AK5 A6:AG19 A21:Q30 A32:Q34 A35:AH35 Q20 AH6:AH34 AI6:AK35 AK36">
    <cfRule type="expression" priority="1" dxfId="0" stopIfTrue="1">
      <formula>AND($A5-TODAY()&lt;=7, $A5-TODAY()&gt;=0)</formula>
    </cfRule>
  </conditionalFormatting>
  <conditionalFormatting sqref="R34:AG34">
    <cfRule type="expression" priority="7" dxfId="0" stopIfTrue="1">
      <formula>AND(#REF!-TODAY()&lt;=7, #REF!-TODAY()&gt;=0)</formula>
    </cfRule>
  </conditionalFormatting>
  <conditionalFormatting sqref="R20:AG33">
    <cfRule type="expression" priority="11" dxfId="0" stopIfTrue="1">
      <formula>AND($A21-TODAY()&lt;=7, $A21-TODAY()&gt;=0)</formula>
    </cfRule>
  </conditionalFormatting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3" topLeftCell="A4" activePane="bottomLeft" state="frozen"/>
      <selection activeCell="G83" sqref="G83"/>
      <selection pane="bottomLeft" activeCell="E18" sqref="E18"/>
    </sheetView>
  </sheetViews>
  <sheetFormatPr baseColWidth="8" defaultRowHeight="16.5"/>
  <cols>
    <col width="15" customWidth="1" style="21" min="1" max="1"/>
    <col width="30" customWidth="1" style="21" min="2" max="2"/>
    <col width="12" customWidth="1" style="21" min="3" max="3"/>
  </cols>
  <sheetData>
    <row r="1" ht="35.1" customHeight="1" s="21">
      <c r="A1" s="22" t="inlineStr">
        <is>
          <t>VINI COFFEE 안락동점 월간 식자재 현황 (원재료 간략)</t>
        </is>
      </c>
    </row>
    <row r="3" ht="26.1" customHeight="1" s="21">
      <c r="A3" s="13" t="inlineStr">
        <is>
          <t>유통기한</t>
        </is>
      </c>
      <c r="B3" s="13" t="inlineStr">
        <is>
          <t>품목이름</t>
        </is>
      </c>
      <c r="C3" s="13" t="inlineStr">
        <is>
          <t>현재고</t>
        </is>
      </c>
    </row>
    <row r="4" ht="20.1" customHeight="1" s="21">
      <c r="A4" s="28">
        <f>원재료!A4</f>
        <v/>
      </c>
      <c r="B4" s="15">
        <f>원재료!B4</f>
        <v/>
      </c>
      <c r="C4" s="16">
        <f>원재료!AK4</f>
        <v/>
      </c>
    </row>
    <row r="5" ht="20.1" customHeight="1" s="21">
      <c r="A5" s="28">
        <f>원재료!A5</f>
        <v/>
      </c>
      <c r="B5" s="15">
        <f>원재료!B5</f>
        <v/>
      </c>
      <c r="C5" s="16">
        <f>원재료!AK5</f>
        <v/>
      </c>
    </row>
    <row r="6" ht="20.1" customHeight="1" s="21">
      <c r="A6" s="28">
        <f>원재료!A6</f>
        <v/>
      </c>
      <c r="B6" s="15">
        <f>원재료!B6</f>
        <v/>
      </c>
      <c r="C6" s="16">
        <f>원재료!AK6</f>
        <v/>
      </c>
    </row>
    <row r="7" ht="20.1" customHeight="1" s="21">
      <c r="A7" s="28">
        <f>원재료!A7</f>
        <v/>
      </c>
      <c r="B7" s="15">
        <f>원재료!B7</f>
        <v/>
      </c>
      <c r="C7" s="16">
        <f>원재료!AK7</f>
        <v/>
      </c>
    </row>
    <row r="8" ht="20.1" customHeight="1" s="21">
      <c r="A8" s="28">
        <f>원재료!A8</f>
        <v/>
      </c>
      <c r="B8" s="15">
        <f>원재료!B8</f>
        <v/>
      </c>
      <c r="C8" s="16">
        <f>원재료!AK8</f>
        <v/>
      </c>
    </row>
    <row r="9" ht="20.1" customHeight="1" s="21">
      <c r="A9" s="28">
        <f>원재료!A9</f>
        <v/>
      </c>
      <c r="B9" s="15">
        <f>원재료!B9</f>
        <v/>
      </c>
      <c r="C9" s="16">
        <f>원재료!AK9</f>
        <v/>
      </c>
    </row>
    <row r="10" ht="20.1" customHeight="1" s="21">
      <c r="A10" s="28">
        <f>원재료!A10</f>
        <v/>
      </c>
      <c r="B10" s="15">
        <f>원재료!B10</f>
        <v/>
      </c>
      <c r="C10" s="16">
        <f>원재료!AK10</f>
        <v/>
      </c>
    </row>
    <row r="11" ht="20.1" customHeight="1" s="21">
      <c r="A11" s="28">
        <f>원재료!A11</f>
        <v/>
      </c>
      <c r="B11" s="15">
        <f>원재료!B11</f>
        <v/>
      </c>
      <c r="C11" s="16">
        <f>원재료!AK11</f>
        <v/>
      </c>
    </row>
    <row r="12" ht="20.1" customHeight="1" s="21">
      <c r="A12" s="28">
        <f>원재료!A12</f>
        <v/>
      </c>
      <c r="B12" s="15">
        <f>원재료!B12</f>
        <v/>
      </c>
      <c r="C12" s="16">
        <f>원재료!AK12</f>
        <v/>
      </c>
    </row>
    <row r="13" ht="20.1" customHeight="1" s="21">
      <c r="A13" s="28">
        <f>원재료!A13</f>
        <v/>
      </c>
      <c r="B13" s="15">
        <f>원재료!B13</f>
        <v/>
      </c>
      <c r="C13" s="16">
        <f>원재료!AK13</f>
        <v/>
      </c>
    </row>
    <row r="14" ht="20.1" customHeight="1" s="21">
      <c r="A14" s="28">
        <f>원재료!A14</f>
        <v/>
      </c>
      <c r="B14" s="15">
        <f>원재료!B14</f>
        <v/>
      </c>
      <c r="C14" s="16">
        <f>원재료!AK14</f>
        <v/>
      </c>
    </row>
    <row r="15" ht="20.1" customHeight="1" s="21">
      <c r="A15" s="28">
        <f>원재료!A15</f>
        <v/>
      </c>
      <c r="B15" s="15">
        <f>원재료!B15</f>
        <v/>
      </c>
      <c r="C15" s="16">
        <f>원재료!AK15</f>
        <v/>
      </c>
    </row>
    <row r="16" ht="20.1" customHeight="1" s="21">
      <c r="A16" s="28">
        <f>원재료!A16</f>
        <v/>
      </c>
      <c r="B16" s="15">
        <f>원재료!B16</f>
        <v/>
      </c>
      <c r="C16" s="16">
        <f>원재료!AK16</f>
        <v/>
      </c>
    </row>
    <row r="17" ht="20.1" customHeight="1" s="21">
      <c r="A17" s="28">
        <f>원재료!A17</f>
        <v/>
      </c>
      <c r="B17" s="15">
        <f>원재료!B17</f>
        <v/>
      </c>
      <c r="C17" s="16">
        <f>원재료!AK17</f>
        <v/>
      </c>
    </row>
    <row r="18" ht="20.1" customHeight="1" s="21">
      <c r="A18" s="28">
        <f>원재료!A18</f>
        <v/>
      </c>
      <c r="B18" s="15">
        <f>원재료!B18</f>
        <v/>
      </c>
      <c r="C18" s="16">
        <f>원재료!AK18</f>
        <v/>
      </c>
    </row>
    <row r="19" ht="20.1" customHeight="1" s="21">
      <c r="A19" s="28">
        <f>원재료!A19</f>
        <v/>
      </c>
      <c r="B19" s="15">
        <f>원재료!B19</f>
        <v/>
      </c>
      <c r="C19" s="16">
        <f>원재료!AK19</f>
        <v/>
      </c>
    </row>
    <row r="20" ht="20.1" customHeight="1" s="21">
      <c r="A20" s="28">
        <f>원재료!A20</f>
        <v/>
      </c>
      <c r="B20" s="15">
        <f>원재료!B20</f>
        <v/>
      </c>
      <c r="C20" s="16">
        <f>원재료!AK20</f>
        <v/>
      </c>
    </row>
    <row r="21" ht="20.1" customHeight="1" s="21">
      <c r="A21" s="28">
        <f>원재료!A21</f>
        <v/>
      </c>
      <c r="B21" s="15">
        <f>원재료!B21</f>
        <v/>
      </c>
      <c r="C21" s="16">
        <f>원재료!AK21</f>
        <v/>
      </c>
    </row>
    <row r="22" ht="20.1" customHeight="1" s="21">
      <c r="A22" s="28">
        <f>원재료!A22</f>
        <v/>
      </c>
      <c r="B22" s="15">
        <f>원재료!B22</f>
        <v/>
      </c>
      <c r="C22" s="16">
        <f>원재료!AK22</f>
        <v/>
      </c>
    </row>
    <row r="23" ht="20.1" customHeight="1" s="21">
      <c r="A23" s="28">
        <f>원재료!A23</f>
        <v/>
      </c>
      <c r="B23" s="15">
        <f>원재료!B23</f>
        <v/>
      </c>
      <c r="C23" s="16">
        <f>원재료!AK23</f>
        <v/>
      </c>
    </row>
    <row r="24" ht="20.1" customHeight="1" s="21">
      <c r="A24" s="28">
        <f>원재료!A24</f>
        <v/>
      </c>
      <c r="B24" s="15">
        <f>원재료!B24</f>
        <v/>
      </c>
      <c r="C24" s="16">
        <f>원재료!AK24</f>
        <v/>
      </c>
    </row>
    <row r="25" ht="20.1" customHeight="1" s="21">
      <c r="A25" s="28">
        <f>원재료!A25</f>
        <v/>
      </c>
      <c r="B25" s="15">
        <f>원재료!B25</f>
        <v/>
      </c>
      <c r="C25" s="16">
        <f>원재료!AK25</f>
        <v/>
      </c>
    </row>
    <row r="26" ht="20.1" customHeight="1" s="21">
      <c r="A26" s="28">
        <f>원재료!A26</f>
        <v/>
      </c>
      <c r="B26" s="15">
        <f>원재료!B26</f>
        <v/>
      </c>
      <c r="C26" s="16">
        <f>원재료!AK26</f>
        <v/>
      </c>
    </row>
    <row r="27" ht="20.1" customHeight="1" s="21">
      <c r="A27" s="28">
        <f>원재료!A27</f>
        <v/>
      </c>
      <c r="B27" s="15">
        <f>원재료!B27</f>
        <v/>
      </c>
      <c r="C27" s="16">
        <f>원재료!AK27</f>
        <v/>
      </c>
    </row>
    <row r="28" ht="20.1" customHeight="1" s="21">
      <c r="A28" s="28">
        <f>원재료!A28</f>
        <v/>
      </c>
      <c r="B28" s="15">
        <f>원재료!B28</f>
        <v/>
      </c>
      <c r="C28" s="16">
        <f>원재료!AK28</f>
        <v/>
      </c>
    </row>
    <row r="29" ht="20.1" customHeight="1" s="21">
      <c r="A29" s="28">
        <f>원재료!A29</f>
        <v/>
      </c>
      <c r="B29" s="15">
        <f>원재료!B29</f>
        <v/>
      </c>
      <c r="C29" s="16">
        <f>원재료!AK29</f>
        <v/>
      </c>
    </row>
    <row r="30" ht="20.1" customHeight="1" s="21">
      <c r="A30" s="28">
        <f>원재료!A30</f>
        <v/>
      </c>
      <c r="B30" s="15">
        <f>원재료!B30</f>
        <v/>
      </c>
      <c r="C30" s="16">
        <f>원재료!AK30</f>
        <v/>
      </c>
    </row>
    <row r="31" ht="20.1" customHeight="1" s="21">
      <c r="A31" s="28">
        <f>원재료!A31</f>
        <v/>
      </c>
      <c r="B31" s="15">
        <f>원재료!B31</f>
        <v/>
      </c>
      <c r="C31" s="16">
        <f>원재료!AK31</f>
        <v/>
      </c>
    </row>
    <row r="32" ht="20.1" customHeight="1" s="21">
      <c r="A32" s="28">
        <f>원재료!A32</f>
        <v/>
      </c>
      <c r="B32" s="15">
        <f>원재료!B32</f>
        <v/>
      </c>
      <c r="C32" s="16">
        <f>원재료!AK32</f>
        <v/>
      </c>
    </row>
    <row r="33" ht="20.1" customHeight="1" s="21">
      <c r="A33" s="28">
        <f>원재료!A33</f>
        <v/>
      </c>
      <c r="B33" s="15">
        <f>원재료!B33</f>
        <v/>
      </c>
      <c r="C33" s="16">
        <f>원재료!AK33</f>
        <v/>
      </c>
    </row>
    <row r="34" ht="20.1" customHeight="1" s="21">
      <c r="A34" s="28">
        <f>원재료!A34</f>
        <v/>
      </c>
      <c r="B34" s="15">
        <f>원재료!B34</f>
        <v/>
      </c>
      <c r="C34" s="16">
        <f>원재료!AK34</f>
        <v/>
      </c>
    </row>
    <row r="35" ht="20.1" customHeight="1" s="21">
      <c r="A35" s="28">
        <f>원재료!A35</f>
        <v/>
      </c>
      <c r="B35" s="15">
        <f>원재료!B35</f>
        <v/>
      </c>
      <c r="C35" s="16">
        <f>원재료!AK35</f>
        <v/>
      </c>
    </row>
    <row r="36" ht="20.1" customHeight="1" s="21">
      <c r="A36" s="28">
        <f>원재료!A36</f>
        <v/>
      </c>
      <c r="B36" s="15">
        <f>원재료!B36</f>
        <v/>
      </c>
      <c r="C36" s="16">
        <f>원재료!AK36</f>
        <v/>
      </c>
    </row>
    <row r="37" ht="20.1" customHeight="1" s="21">
      <c r="A37" s="28">
        <f>원재료!A37</f>
        <v/>
      </c>
      <c r="B37" s="15">
        <f>원재료!B37</f>
        <v/>
      </c>
      <c r="C37" s="16">
        <f>원재료!AK37</f>
        <v/>
      </c>
    </row>
    <row r="38" ht="20.1" customHeight="1" s="21">
      <c r="A38" s="28">
        <f>원재료!A38</f>
        <v/>
      </c>
      <c r="B38" s="15">
        <f>원재료!B38</f>
        <v/>
      </c>
      <c r="C38" s="16">
        <f>원재료!AK38</f>
        <v/>
      </c>
    </row>
    <row r="39" ht="20.1" customHeight="1" s="21">
      <c r="A39" s="28">
        <f>원재료!A39</f>
        <v/>
      </c>
      <c r="B39" s="15">
        <f>원재료!B39</f>
        <v/>
      </c>
      <c r="C39" s="16">
        <f>원재료!AK39</f>
        <v/>
      </c>
    </row>
    <row r="40" ht="20.1" customHeight="1" s="21">
      <c r="A40" s="28">
        <f>원재료!A40</f>
        <v/>
      </c>
      <c r="B40" s="15">
        <f>원재료!B40</f>
        <v/>
      </c>
      <c r="C40" s="16">
        <f>원재료!AK40</f>
        <v/>
      </c>
    </row>
    <row r="41" ht="20.1" customHeight="1" s="21">
      <c r="A41" s="28">
        <f>원재료!A41</f>
        <v/>
      </c>
      <c r="B41" s="15">
        <f>원재료!B41</f>
        <v/>
      </c>
      <c r="C41" s="16">
        <f>원재료!AK41</f>
        <v/>
      </c>
    </row>
  </sheetData>
  <mergeCells count="1">
    <mergeCell ref="A1:C1"/>
  </mergeCells>
  <conditionalFormatting sqref="A4:C41">
    <cfRule type="expression" priority="1" dxfId="0" stopIfTrue="1">
      <formula>AND($A4-TODAY()&lt;=7, $A4-TODAY()&gt;=0)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activeCell="G83" sqref="G83"/>
      <selection pane="bottomLeft" activeCell="G83" sqref="G83"/>
    </sheetView>
  </sheetViews>
  <sheetFormatPr baseColWidth="8" defaultRowHeight="16.5"/>
  <cols>
    <col width="15" customWidth="1" style="21" min="1" max="1"/>
    <col width="30" customWidth="1" style="21" min="2" max="2"/>
    <col width="12" customWidth="1" style="21" min="3" max="3"/>
  </cols>
  <sheetData>
    <row r="1" ht="35.1" customHeight="1" s="21">
      <c r="A1" s="22" t="inlineStr">
        <is>
          <t>VINI COFFEE 안락동점 월간 식자재 현황 (부자재 간략)</t>
        </is>
      </c>
    </row>
    <row r="3" ht="26.1" customHeight="1" s="21">
      <c r="A3" s="13" t="inlineStr">
        <is>
          <t>유통기한</t>
        </is>
      </c>
      <c r="B3" s="13" t="inlineStr">
        <is>
          <t>품목이름</t>
        </is>
      </c>
      <c r="C3" s="13" t="inlineStr">
        <is>
          <t>현재고</t>
        </is>
      </c>
    </row>
    <row r="4" ht="20.1" customHeight="1" s="21">
      <c r="A4" s="14">
        <f>부자재!A4</f>
        <v/>
      </c>
      <c r="B4" s="15">
        <f>부자재!B4</f>
        <v/>
      </c>
      <c r="C4" s="16">
        <f>부자재!AK4</f>
        <v/>
      </c>
    </row>
    <row r="5" ht="20.1" customHeight="1" s="21">
      <c r="A5" s="14">
        <f>부자재!A5</f>
        <v/>
      </c>
      <c r="B5" s="15">
        <f>부자재!B5</f>
        <v/>
      </c>
      <c r="C5" s="16">
        <f>부자재!AK5</f>
        <v/>
      </c>
    </row>
    <row r="6" ht="20.1" customHeight="1" s="21">
      <c r="A6" s="14">
        <f>부자재!A6</f>
        <v/>
      </c>
      <c r="B6" s="15">
        <f>부자재!B6</f>
        <v/>
      </c>
      <c r="C6" s="16">
        <f>부자재!AK6</f>
        <v/>
      </c>
    </row>
    <row r="7" ht="20.1" customHeight="1" s="21">
      <c r="A7" s="14">
        <f>부자재!A7</f>
        <v/>
      </c>
      <c r="B7" s="15">
        <f>부자재!B7</f>
        <v/>
      </c>
      <c r="C7" s="16">
        <f>부자재!AK7</f>
        <v/>
      </c>
    </row>
    <row r="8" ht="20.1" customHeight="1" s="21">
      <c r="A8" s="14">
        <f>부자재!A8</f>
        <v/>
      </c>
      <c r="B8" s="15">
        <f>부자재!B8</f>
        <v/>
      </c>
      <c r="C8" s="16">
        <f>부자재!AK8</f>
        <v/>
      </c>
    </row>
    <row r="9" ht="20.1" customHeight="1" s="21">
      <c r="A9" s="14">
        <f>부자재!A9</f>
        <v/>
      </c>
      <c r="B9" s="15">
        <f>부자재!B9</f>
        <v/>
      </c>
      <c r="C9" s="16">
        <f>부자재!AK9</f>
        <v/>
      </c>
    </row>
    <row r="10" ht="20.1" customHeight="1" s="21">
      <c r="A10" s="14">
        <f>부자재!A10</f>
        <v/>
      </c>
      <c r="B10" s="15">
        <f>부자재!B10</f>
        <v/>
      </c>
      <c r="C10" s="16">
        <f>부자재!AK10</f>
        <v/>
      </c>
    </row>
    <row r="11" ht="20.1" customHeight="1" s="21">
      <c r="A11" s="14">
        <f>부자재!A11</f>
        <v/>
      </c>
      <c r="B11" s="15">
        <f>부자재!B11</f>
        <v/>
      </c>
      <c r="C11" s="16">
        <f>부자재!AK11</f>
        <v/>
      </c>
    </row>
    <row r="12" ht="20.1" customHeight="1" s="21">
      <c r="A12" s="14">
        <f>부자재!A12</f>
        <v/>
      </c>
      <c r="B12" s="15">
        <f>부자재!B12</f>
        <v/>
      </c>
      <c r="C12" s="16">
        <f>부자재!AK12</f>
        <v/>
      </c>
    </row>
    <row r="13" ht="20.1" customHeight="1" s="21">
      <c r="A13" s="14">
        <f>부자재!A13</f>
        <v/>
      </c>
      <c r="B13" s="15">
        <f>부자재!B13</f>
        <v/>
      </c>
      <c r="C13" s="16">
        <f>부자재!AK13</f>
        <v/>
      </c>
    </row>
  </sheetData>
  <mergeCells count="1">
    <mergeCell ref="A1:C1"/>
  </mergeCells>
  <conditionalFormatting sqref="A4:C13">
    <cfRule type="expression" priority="1" dxfId="0" stopIfTrue="1">
      <formula>AND($A4-TODAY()&lt;=7, $A4-TODAY()&gt;=0)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3" topLeftCell="A4" activePane="bottomLeft" state="frozen"/>
      <selection activeCell="G83" sqref="G83"/>
      <selection pane="bottomLeft" activeCell="C11" sqref="C11"/>
    </sheetView>
  </sheetViews>
  <sheetFormatPr baseColWidth="8" defaultRowHeight="16.5"/>
  <cols>
    <col width="15" customWidth="1" style="21" min="1" max="1"/>
    <col width="30" customWidth="1" style="21" min="2" max="2"/>
    <col width="12" customWidth="1" style="21" min="3" max="3"/>
  </cols>
  <sheetData>
    <row r="1" ht="35.1" customHeight="1" s="21">
      <c r="A1" s="22" t="inlineStr">
        <is>
          <t>VINI COFFEE 안락동점 월간 식자재 현황 (디저트&amp;완제품 간략)</t>
        </is>
      </c>
    </row>
    <row r="3" ht="26.1" customHeight="1" s="21">
      <c r="A3" s="13" t="inlineStr">
        <is>
          <t>유통기한</t>
        </is>
      </c>
      <c r="B3" s="13" t="inlineStr">
        <is>
          <t>품목이름</t>
        </is>
      </c>
      <c r="C3" s="13" t="inlineStr">
        <is>
          <t>현재고</t>
        </is>
      </c>
    </row>
    <row r="4" ht="20.1" customHeight="1" s="21">
      <c r="A4" s="14">
        <f>'디저트&amp;완제품'!A4</f>
        <v/>
      </c>
      <c r="B4" s="15">
        <f>'디저트&amp;완제품'!B4</f>
        <v/>
      </c>
      <c r="C4" s="16">
        <f>'디저트&amp;완제품'!AK4</f>
        <v/>
      </c>
    </row>
    <row r="5" ht="20.1" customHeight="1" s="21">
      <c r="A5" s="14">
        <f>'디저트&amp;완제품'!A5</f>
        <v/>
      </c>
      <c r="B5" s="15">
        <f>'디저트&amp;완제품'!B5</f>
        <v/>
      </c>
      <c r="C5" s="16">
        <f>'디저트&amp;완제품'!AK5</f>
        <v/>
      </c>
    </row>
    <row r="6" ht="20.1" customHeight="1" s="21">
      <c r="A6" s="14">
        <f>'디저트&amp;완제품'!A6</f>
        <v/>
      </c>
      <c r="B6" s="15">
        <f>'디저트&amp;완제품'!B6</f>
        <v/>
      </c>
      <c r="C6" s="16">
        <f>'디저트&amp;완제품'!AK6</f>
        <v/>
      </c>
    </row>
    <row r="7" ht="20.1" customHeight="1" s="21">
      <c r="A7" s="28">
        <f>'디저트&amp;완제품'!A7</f>
        <v/>
      </c>
      <c r="B7" s="15">
        <f>'디저트&amp;완제품'!B7</f>
        <v/>
      </c>
      <c r="C7" s="16">
        <f>'디저트&amp;완제품'!AK7</f>
        <v/>
      </c>
    </row>
    <row r="8" ht="20.1" customHeight="1" s="21">
      <c r="A8" s="28">
        <f>'디저트&amp;완제품'!A8</f>
        <v/>
      </c>
      <c r="B8" s="15">
        <f>'디저트&amp;완제품'!B8</f>
        <v/>
      </c>
      <c r="C8" s="16">
        <f>'디저트&amp;완제품'!AK8</f>
        <v/>
      </c>
    </row>
    <row r="9" ht="20.1" customHeight="1" s="21">
      <c r="A9" s="28">
        <f>'디저트&amp;완제품'!A9</f>
        <v/>
      </c>
      <c r="B9" s="15">
        <f>'디저트&amp;완제품'!B9</f>
        <v/>
      </c>
      <c r="C9" s="16">
        <f>'디저트&amp;완제품'!AK9</f>
        <v/>
      </c>
    </row>
    <row r="10" ht="20.1" customHeight="1" s="21">
      <c r="A10" s="28">
        <f>'디저트&amp;완제품'!A10</f>
        <v/>
      </c>
      <c r="B10" s="15">
        <f>'디저트&amp;완제품'!B10</f>
        <v/>
      </c>
      <c r="C10" s="16">
        <f>'디저트&amp;완제품'!AK10</f>
        <v/>
      </c>
    </row>
    <row r="11" ht="20.1" customHeight="1" s="21">
      <c r="A11" s="28">
        <f>'디저트&amp;완제품'!A11</f>
        <v/>
      </c>
      <c r="B11" s="15">
        <f>'디저트&amp;완제품'!B11</f>
        <v/>
      </c>
      <c r="C11" s="16">
        <f>'디저트&amp;완제품'!AK11</f>
        <v/>
      </c>
    </row>
    <row r="12" ht="20.1" customHeight="1" s="21">
      <c r="A12" s="28">
        <f>'디저트&amp;완제품'!A12</f>
        <v/>
      </c>
      <c r="B12" s="15">
        <f>'디저트&amp;완제품'!B12</f>
        <v/>
      </c>
      <c r="C12" s="16">
        <f>'디저트&amp;완제품'!AK12</f>
        <v/>
      </c>
    </row>
    <row r="13" ht="20.1" customHeight="1" s="21">
      <c r="A13" s="28">
        <f>'디저트&amp;완제품'!A14</f>
        <v/>
      </c>
      <c r="B13" s="15">
        <f>'디저트&amp;완제품'!B14</f>
        <v/>
      </c>
      <c r="C13" s="16">
        <f>'디저트&amp;완제품'!AK14</f>
        <v/>
      </c>
    </row>
    <row r="14" ht="20.1" customHeight="1" s="21">
      <c r="A14" s="28">
        <f>'디저트&amp;완제품'!A15</f>
        <v/>
      </c>
      <c r="B14" s="15">
        <f>'디저트&amp;완제품'!B15</f>
        <v/>
      </c>
      <c r="C14" s="16">
        <f>'디저트&amp;완제품'!AK15</f>
        <v/>
      </c>
    </row>
    <row r="15" ht="20.1" customHeight="1" s="21">
      <c r="A15" s="28">
        <f>'디저트&amp;완제품'!A16</f>
        <v/>
      </c>
      <c r="B15" s="15">
        <f>'디저트&amp;완제품'!B16</f>
        <v/>
      </c>
      <c r="C15" s="16">
        <f>'디저트&amp;완제품'!AK16</f>
        <v/>
      </c>
    </row>
    <row r="16" ht="20.1" customHeight="1" s="21">
      <c r="A16" s="28">
        <f>'디저트&amp;완제품'!A17</f>
        <v/>
      </c>
      <c r="B16" s="15">
        <f>'디저트&amp;완제품'!B17</f>
        <v/>
      </c>
      <c r="C16" s="16">
        <f>'디저트&amp;완제품'!AK17</f>
        <v/>
      </c>
    </row>
    <row r="17" ht="20.1" customHeight="1" s="21">
      <c r="A17" s="28">
        <f>'디저트&amp;완제품'!A18</f>
        <v/>
      </c>
      <c r="B17" s="15">
        <f>'디저트&amp;완제품'!B18</f>
        <v/>
      </c>
      <c r="C17" s="16">
        <f>'디저트&amp;완제품'!AK18</f>
        <v/>
      </c>
    </row>
    <row r="18" ht="20.1" customHeight="1" s="21">
      <c r="A18" s="28">
        <f>'디저트&amp;완제품'!A19</f>
        <v/>
      </c>
      <c r="B18" s="15">
        <f>'디저트&amp;완제품'!B19</f>
        <v/>
      </c>
      <c r="C18" s="16">
        <f>'디저트&amp;완제품'!AK19</f>
        <v/>
      </c>
    </row>
    <row r="19" ht="20.1" customHeight="1" s="21">
      <c r="A19" s="28">
        <f>'디저트&amp;완제품'!A21</f>
        <v/>
      </c>
      <c r="B19" s="15">
        <f>'디저트&amp;완제품'!B21</f>
        <v/>
      </c>
      <c r="C19" s="16">
        <f>'디저트&amp;완제품'!AK21</f>
        <v/>
      </c>
    </row>
    <row r="20" ht="20.1" customHeight="1" s="21">
      <c r="A20" s="28">
        <f>'디저트&amp;완제품'!A22</f>
        <v/>
      </c>
      <c r="B20" s="15">
        <f>'디저트&amp;완제품'!B22</f>
        <v/>
      </c>
      <c r="C20" s="16">
        <f>'디저트&amp;완제품'!AK22</f>
        <v/>
      </c>
    </row>
    <row r="21" ht="20.1" customHeight="1" s="21">
      <c r="A21" s="28">
        <f>'디저트&amp;완제품'!A23</f>
        <v/>
      </c>
      <c r="B21" s="15">
        <f>'디저트&amp;완제품'!B23</f>
        <v/>
      </c>
      <c r="C21" s="16">
        <f>'디저트&amp;완제품'!AK23</f>
        <v/>
      </c>
    </row>
    <row r="22" ht="20.1" customHeight="1" s="21">
      <c r="A22" s="28">
        <f>'디저트&amp;완제품'!A24</f>
        <v/>
      </c>
      <c r="B22" s="15">
        <f>'디저트&amp;완제품'!B24</f>
        <v/>
      </c>
      <c r="C22" s="16">
        <f>'디저트&amp;완제품'!AK24</f>
        <v/>
      </c>
    </row>
    <row r="23" ht="20.1" customHeight="1" s="21">
      <c r="A23" s="28">
        <f>'디저트&amp;완제품'!A25</f>
        <v/>
      </c>
      <c r="B23" s="15">
        <f>'디저트&amp;완제품'!B25</f>
        <v/>
      </c>
      <c r="C23" s="16">
        <f>'디저트&amp;완제품'!AK25</f>
        <v/>
      </c>
    </row>
    <row r="24" ht="20.1" customHeight="1" s="21">
      <c r="A24" s="28">
        <f>'디저트&amp;완제품'!A26</f>
        <v/>
      </c>
      <c r="B24" s="15">
        <f>'디저트&amp;완제품'!B26</f>
        <v/>
      </c>
      <c r="C24" s="16">
        <f>'디저트&amp;완제품'!AK26</f>
        <v/>
      </c>
    </row>
    <row r="25" ht="20.1" customHeight="1" s="21">
      <c r="A25" s="28">
        <f>'디저트&amp;완제품'!A27</f>
        <v/>
      </c>
      <c r="B25" s="15">
        <f>'디저트&amp;완제품'!B27</f>
        <v/>
      </c>
      <c r="C25" s="16">
        <f>'디저트&amp;완제품'!AK27</f>
        <v/>
      </c>
    </row>
    <row r="26" ht="20.1" customHeight="1" s="21">
      <c r="A26" s="28">
        <f>'디저트&amp;완제품'!A28</f>
        <v/>
      </c>
      <c r="B26" s="15">
        <f>'디저트&amp;완제품'!B28</f>
        <v/>
      </c>
      <c r="C26" s="16">
        <f>'디저트&amp;완제품'!AK28</f>
        <v/>
      </c>
    </row>
    <row r="27" ht="20.1" customHeight="1" s="21">
      <c r="A27" s="28">
        <f>'디저트&amp;완제품'!A29</f>
        <v/>
      </c>
      <c r="B27" s="15">
        <f>'디저트&amp;완제품'!B29</f>
        <v/>
      </c>
      <c r="C27" s="16">
        <f>'디저트&amp;완제품'!AK29</f>
        <v/>
      </c>
    </row>
    <row r="28" ht="20.1" customHeight="1" s="21">
      <c r="A28" s="28">
        <f>'디저트&amp;완제품'!A30</f>
        <v/>
      </c>
      <c r="B28" s="15">
        <f>'디저트&amp;완제품'!B30</f>
        <v/>
      </c>
      <c r="C28" s="16">
        <f>'디저트&amp;완제품'!AK30</f>
        <v/>
      </c>
    </row>
    <row r="29" ht="20.1" customHeight="1" s="21">
      <c r="A29" s="28">
        <f>'디저트&amp;완제품'!A32</f>
        <v/>
      </c>
      <c r="B29" s="15">
        <f>'디저트&amp;완제품'!B32</f>
        <v/>
      </c>
      <c r="C29" s="16">
        <f>'디저트&amp;완제품'!AK32</f>
        <v/>
      </c>
    </row>
    <row r="30" ht="20.1" customHeight="1" s="21">
      <c r="A30" s="28">
        <f>'디저트&amp;완제품'!A33</f>
        <v/>
      </c>
      <c r="B30" s="15">
        <f>'디저트&amp;완제품'!B33</f>
        <v/>
      </c>
      <c r="C30" s="16">
        <f>'디저트&amp;완제품'!AK33</f>
        <v/>
      </c>
    </row>
    <row r="31" ht="20.1" customHeight="1" s="21">
      <c r="A31" s="28">
        <f>'디저트&amp;완제품'!A34</f>
        <v/>
      </c>
      <c r="B31" s="15">
        <f>'디저트&amp;완제품'!B34</f>
        <v/>
      </c>
      <c r="C31" s="16">
        <f>'디저트&amp;완제품'!AK34</f>
        <v/>
      </c>
    </row>
    <row r="32" ht="20.1" customHeight="1" s="21">
      <c r="A32" s="28">
        <f>'디저트&amp;완제품'!A13</f>
        <v/>
      </c>
      <c r="B32" s="15">
        <f>'디저트&amp;완제품'!B13</f>
        <v/>
      </c>
      <c r="C32" s="16">
        <f>'디저트&amp;완제품'!AK13</f>
        <v/>
      </c>
    </row>
    <row r="33" ht="20.1" customHeight="1" s="21">
      <c r="A33" s="28">
        <f>'디저트&amp;완제품'!A35</f>
        <v/>
      </c>
      <c r="B33" s="15">
        <f>'디저트&amp;완제품'!B35</f>
        <v/>
      </c>
      <c r="C33" s="16">
        <f>'디저트&amp;완제품'!AK35</f>
        <v/>
      </c>
    </row>
  </sheetData>
  <mergeCells count="1">
    <mergeCell ref="A1:C1"/>
  </mergeCells>
  <conditionalFormatting sqref="A4:C33">
    <cfRule type="expression" priority="1" dxfId="0" stopIfTrue="1">
      <formula>AND($A4-TODAY()&lt;=7, $A4-TODAY()&gt;=0)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2026-06-24T13:26:40Z</dcterms:created>
  <dcterms:modified xsi:type="dcterms:W3CDTF">2026-07-01T11:40:23Z</dcterms:modified>
  <cp:lastModifiedBy>함승일</cp:lastModifiedBy>
</cp:coreProperties>
</file>