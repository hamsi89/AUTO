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456A3E-18E4-4770-8D1E-B0FD540B7E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원재료" sheetId="1" r:id="rId1"/>
    <sheet name="부자재" sheetId="2" r:id="rId2"/>
    <sheet name="디저트&amp;완제품" sheetId="3" r:id="rId3"/>
    <sheet name="원재료(간략)" sheetId="4" r:id="rId4"/>
    <sheet name="부자재(간략)" sheetId="5" r:id="rId5"/>
    <sheet name="디저트&amp;완제품(간략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2" i="4" l="1"/>
  <c r="B42" i="4"/>
  <c r="C42" i="4"/>
  <c r="A43" i="4"/>
  <c r="B43" i="4"/>
  <c r="C43" i="4"/>
  <c r="A44" i="4"/>
  <c r="B44" i="4"/>
  <c r="C44" i="4"/>
  <c r="AJ45" i="1"/>
  <c r="AK45" i="1" s="1"/>
  <c r="AJ42" i="1"/>
  <c r="AK42" i="1"/>
  <c r="AJ43" i="1"/>
  <c r="AK43" i="1"/>
  <c r="AJ44" i="1"/>
  <c r="AK44" i="1" s="1"/>
  <c r="A19" i="6"/>
  <c r="A20" i="6"/>
  <c r="A21" i="6"/>
  <c r="A22" i="6"/>
  <c r="C22" i="6"/>
  <c r="B22" i="6"/>
  <c r="C19" i="6"/>
  <c r="C20" i="6"/>
  <c r="C21" i="6"/>
  <c r="B20" i="6"/>
  <c r="B21" i="6"/>
  <c r="B19" i="6"/>
  <c r="AK20" i="3"/>
  <c r="AJ21" i="3"/>
  <c r="AK21" i="3"/>
  <c r="AJ22" i="3"/>
  <c r="AK22" i="3" s="1"/>
  <c r="AJ23" i="3"/>
  <c r="AK23" i="3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C4" i="6"/>
  <c r="B4" i="6"/>
  <c r="A4" i="6"/>
  <c r="C13" i="5"/>
  <c r="B13" i="5"/>
  <c r="A13" i="5"/>
  <c r="B12" i="5"/>
  <c r="A12" i="5"/>
  <c r="B11" i="5"/>
  <c r="A11" i="5"/>
  <c r="C10" i="5"/>
  <c r="B10" i="5"/>
  <c r="A10" i="5"/>
  <c r="C9" i="5"/>
  <c r="B9" i="5"/>
  <c r="A9" i="5"/>
  <c r="B8" i="5"/>
  <c r="A8" i="5"/>
  <c r="B7" i="5"/>
  <c r="A7" i="5"/>
  <c r="C6" i="5"/>
  <c r="B6" i="5"/>
  <c r="A6" i="5"/>
  <c r="C5" i="5"/>
  <c r="B5" i="5"/>
  <c r="A5" i="5"/>
  <c r="B4" i="5"/>
  <c r="A4" i="5"/>
  <c r="B41" i="4"/>
  <c r="A41" i="4"/>
  <c r="B40" i="4"/>
  <c r="A40" i="4"/>
  <c r="C39" i="4"/>
  <c r="B39" i="4"/>
  <c r="A39" i="4"/>
  <c r="B38" i="4"/>
  <c r="A38" i="4"/>
  <c r="B37" i="4"/>
  <c r="A37" i="4"/>
  <c r="B36" i="4"/>
  <c r="A36" i="4"/>
  <c r="C35" i="4"/>
  <c r="B35" i="4"/>
  <c r="A35" i="4"/>
  <c r="B34" i="4"/>
  <c r="A34" i="4"/>
  <c r="B33" i="4"/>
  <c r="A33" i="4"/>
  <c r="B32" i="4"/>
  <c r="A32" i="4"/>
  <c r="C31" i="4"/>
  <c r="B31" i="4"/>
  <c r="A31" i="4"/>
  <c r="B30" i="4"/>
  <c r="A30" i="4"/>
  <c r="B29" i="4"/>
  <c r="A29" i="4"/>
  <c r="B28" i="4"/>
  <c r="A28" i="4"/>
  <c r="C27" i="4"/>
  <c r="B27" i="4"/>
  <c r="A27" i="4"/>
  <c r="B26" i="4"/>
  <c r="A26" i="4"/>
  <c r="B25" i="4"/>
  <c r="A25" i="4"/>
  <c r="B24" i="4"/>
  <c r="A24" i="4"/>
  <c r="C23" i="4"/>
  <c r="B23" i="4"/>
  <c r="A23" i="4"/>
  <c r="B22" i="4"/>
  <c r="A22" i="4"/>
  <c r="B21" i="4"/>
  <c r="A21" i="4"/>
  <c r="B20" i="4"/>
  <c r="A20" i="4"/>
  <c r="C19" i="4"/>
  <c r="B19" i="4"/>
  <c r="A19" i="4"/>
  <c r="B18" i="4"/>
  <c r="A18" i="4"/>
  <c r="B17" i="4"/>
  <c r="A17" i="4"/>
  <c r="B16" i="4"/>
  <c r="A16" i="4"/>
  <c r="C15" i="4"/>
  <c r="B15" i="4"/>
  <c r="A15" i="4"/>
  <c r="B14" i="4"/>
  <c r="A14" i="4"/>
  <c r="B13" i="4"/>
  <c r="A13" i="4"/>
  <c r="B12" i="4"/>
  <c r="A12" i="4"/>
  <c r="C11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AJ39" i="3"/>
  <c r="AK39" i="3" s="1"/>
  <c r="C37" i="6" s="1"/>
  <c r="AJ38" i="3"/>
  <c r="AK38" i="3" s="1"/>
  <c r="C35" i="6" s="1"/>
  <c r="AJ37" i="3"/>
  <c r="AK37" i="3" s="1"/>
  <c r="C34" i="6" s="1"/>
  <c r="AJ36" i="3"/>
  <c r="AK36" i="3" s="1"/>
  <c r="C33" i="6" s="1"/>
  <c r="AJ35" i="3"/>
  <c r="AK35" i="3" s="1"/>
  <c r="AJ34" i="3"/>
  <c r="AK34" i="3" s="1"/>
  <c r="C32" i="6" s="1"/>
  <c r="AJ33" i="3"/>
  <c r="AK33" i="3" s="1"/>
  <c r="C31" i="6" s="1"/>
  <c r="AJ32" i="3"/>
  <c r="AK32" i="3" s="1"/>
  <c r="C30" i="6" s="1"/>
  <c r="AJ31" i="3"/>
  <c r="AK31" i="3" s="1"/>
  <c r="C29" i="6" s="1"/>
  <c r="AJ30" i="3"/>
  <c r="AK30" i="3" s="1"/>
  <c r="C28" i="6" s="1"/>
  <c r="AJ29" i="3"/>
  <c r="AK29" i="3" s="1"/>
  <c r="C27" i="6" s="1"/>
  <c r="AJ28" i="3"/>
  <c r="AK28" i="3" s="1"/>
  <c r="C26" i="6" s="1"/>
  <c r="AJ27" i="3"/>
  <c r="AK27" i="3" s="1"/>
  <c r="C25" i="6" s="1"/>
  <c r="AJ26" i="3"/>
  <c r="AK26" i="3" s="1"/>
  <c r="C24" i="6" s="1"/>
  <c r="AJ25" i="3"/>
  <c r="AK25" i="3" s="1"/>
  <c r="C23" i="6" s="1"/>
  <c r="AJ19" i="3"/>
  <c r="AK19" i="3" s="1"/>
  <c r="C18" i="6" s="1"/>
  <c r="AJ18" i="3"/>
  <c r="AK18" i="3" s="1"/>
  <c r="C17" i="6" s="1"/>
  <c r="AJ17" i="3"/>
  <c r="AK17" i="3" s="1"/>
  <c r="C16" i="6" s="1"/>
  <c r="AJ16" i="3"/>
  <c r="AK16" i="3" s="1"/>
  <c r="C15" i="6" s="1"/>
  <c r="AJ15" i="3"/>
  <c r="AK15" i="3" s="1"/>
  <c r="C14" i="6" s="1"/>
  <c r="AJ14" i="3"/>
  <c r="AK14" i="3" s="1"/>
  <c r="C13" i="6" s="1"/>
  <c r="AJ13" i="3"/>
  <c r="AK13" i="3" s="1"/>
  <c r="C36" i="6" s="1"/>
  <c r="AJ12" i="3"/>
  <c r="AK12" i="3" s="1"/>
  <c r="C12" i="6" s="1"/>
  <c r="AJ11" i="3"/>
  <c r="AK11" i="3" s="1"/>
  <c r="C11" i="6" s="1"/>
  <c r="AJ10" i="3"/>
  <c r="AK10" i="3" s="1"/>
  <c r="C10" i="6" s="1"/>
  <c r="AJ9" i="3"/>
  <c r="AK9" i="3" s="1"/>
  <c r="C9" i="6" s="1"/>
  <c r="AJ8" i="3"/>
  <c r="AK8" i="3" s="1"/>
  <c r="C8" i="6" s="1"/>
  <c r="AJ7" i="3"/>
  <c r="AK7" i="3" s="1"/>
  <c r="C7" i="6" s="1"/>
  <c r="AJ6" i="3"/>
  <c r="AK6" i="3" s="1"/>
  <c r="C6" i="6" s="1"/>
  <c r="AJ5" i="3"/>
  <c r="AK5" i="3" s="1"/>
  <c r="C5" i="6" s="1"/>
  <c r="AK13" i="2"/>
  <c r="AJ13" i="2"/>
  <c r="AK12" i="2"/>
  <c r="C12" i="5" s="1"/>
  <c r="AJ12" i="2"/>
  <c r="AK11" i="2"/>
  <c r="C11" i="5" s="1"/>
  <c r="AJ11" i="2"/>
  <c r="AK10" i="2"/>
  <c r="AJ10" i="2"/>
  <c r="AK9" i="2"/>
  <c r="AJ9" i="2"/>
  <c r="AK8" i="2"/>
  <c r="C8" i="5" s="1"/>
  <c r="AJ8" i="2"/>
  <c r="AK7" i="2"/>
  <c r="C7" i="5" s="1"/>
  <c r="AJ7" i="2"/>
  <c r="AK6" i="2"/>
  <c r="AJ6" i="2"/>
  <c r="AK5" i="2"/>
  <c r="AJ5" i="2"/>
  <c r="AK4" i="2"/>
  <c r="C4" i="5" s="1"/>
  <c r="AJ4" i="2"/>
  <c r="AK41" i="1"/>
  <c r="C41" i="4" s="1"/>
  <c r="AJ41" i="1"/>
  <c r="AJ40" i="1"/>
  <c r="AK40" i="1" s="1"/>
  <c r="C40" i="4" s="1"/>
  <c r="AK39" i="1"/>
  <c r="AJ39" i="1"/>
  <c r="AJ38" i="1"/>
  <c r="AK38" i="1" s="1"/>
  <c r="C38" i="4" s="1"/>
  <c r="AJ37" i="1"/>
  <c r="AK37" i="1" s="1"/>
  <c r="C37" i="4" s="1"/>
  <c r="AJ36" i="1"/>
  <c r="AK36" i="1" s="1"/>
  <c r="C36" i="4" s="1"/>
  <c r="AK35" i="1"/>
  <c r="AJ35" i="1"/>
  <c r="AJ34" i="1"/>
  <c r="AK34" i="1" s="1"/>
  <c r="C34" i="4" s="1"/>
  <c r="AK33" i="1"/>
  <c r="C33" i="4" s="1"/>
  <c r="AJ33" i="1"/>
  <c r="AJ32" i="1"/>
  <c r="AK32" i="1" s="1"/>
  <c r="C32" i="4" s="1"/>
  <c r="AK31" i="1"/>
  <c r="AJ31" i="1"/>
  <c r="AJ30" i="1"/>
  <c r="AK30" i="1" s="1"/>
  <c r="C30" i="4" s="1"/>
  <c r="AK29" i="1"/>
  <c r="C29" i="4" s="1"/>
  <c r="AJ29" i="1"/>
  <c r="AJ28" i="1"/>
  <c r="AK28" i="1" s="1"/>
  <c r="C28" i="4" s="1"/>
  <c r="AK27" i="1"/>
  <c r="AJ27" i="1"/>
  <c r="AJ26" i="1"/>
  <c r="AK26" i="1" s="1"/>
  <c r="C26" i="4" s="1"/>
  <c r="AK25" i="1"/>
  <c r="C25" i="4" s="1"/>
  <c r="AJ25" i="1"/>
  <c r="AJ24" i="1"/>
  <c r="AK24" i="1" s="1"/>
  <c r="C24" i="4" s="1"/>
  <c r="AK23" i="1"/>
  <c r="AJ23" i="1"/>
  <c r="AJ22" i="1"/>
  <c r="AK22" i="1" s="1"/>
  <c r="C22" i="4" s="1"/>
  <c r="AK21" i="1"/>
  <c r="C21" i="4" s="1"/>
  <c r="AJ21" i="1"/>
  <c r="AJ20" i="1"/>
  <c r="AK20" i="1" s="1"/>
  <c r="C20" i="4" s="1"/>
  <c r="AK19" i="1"/>
  <c r="AJ19" i="1"/>
  <c r="AJ18" i="1"/>
  <c r="AK18" i="1" s="1"/>
  <c r="C18" i="4" s="1"/>
  <c r="AK17" i="1"/>
  <c r="C17" i="4" s="1"/>
  <c r="AJ17" i="1"/>
  <c r="AJ16" i="1"/>
  <c r="AK16" i="1" s="1"/>
  <c r="C16" i="4" s="1"/>
  <c r="AK15" i="1"/>
  <c r="AJ15" i="1"/>
  <c r="AJ14" i="1"/>
  <c r="AK14" i="1" s="1"/>
  <c r="C14" i="4" s="1"/>
  <c r="AK13" i="1"/>
  <c r="C13" i="4" s="1"/>
  <c r="AJ13" i="1"/>
  <c r="AJ12" i="1"/>
  <c r="AK12" i="1" s="1"/>
  <c r="C12" i="4" s="1"/>
  <c r="AK11" i="1"/>
  <c r="AJ11" i="1"/>
  <c r="AJ10" i="1"/>
  <c r="AK10" i="1" s="1"/>
  <c r="C10" i="4" s="1"/>
  <c r="AK9" i="1"/>
  <c r="C9" i="4" s="1"/>
  <c r="AJ9" i="1"/>
  <c r="AJ8" i="1"/>
  <c r="AK8" i="1" s="1"/>
  <c r="C8" i="4" s="1"/>
  <c r="AJ7" i="1"/>
  <c r="AK7" i="1" s="1"/>
  <c r="C7" i="4" s="1"/>
  <c r="AJ6" i="1"/>
  <c r="AK6" i="1" s="1"/>
  <c r="C6" i="4" s="1"/>
  <c r="AK5" i="1"/>
  <c r="C5" i="4" s="1"/>
  <c r="AJ5" i="1"/>
  <c r="AJ4" i="1"/>
  <c r="AK4" i="1" s="1"/>
  <c r="C4" i="4" s="1"/>
</calcChain>
</file>

<file path=xl/sharedStrings.xml><?xml version="1.0" encoding="utf-8"?>
<sst xmlns="http://schemas.openxmlformats.org/spreadsheetml/2006/main" count="275" uniqueCount="181">
  <si>
    <t>VINI COFFEE 안락동점 월간 식자재 수불 대장 (81개 전품목 연동)</t>
  </si>
  <si>
    <t>유통기간</t>
  </si>
  <si>
    <t>구 분(발주처)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</si>
  <si>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</si>
  <si>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</si>
  <si>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</si>
  <si>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</si>
  <si>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</si>
  <si>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</si>
  <si>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</si>
  <si>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</si>
  <si>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</si>
  <si>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</si>
  <si>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</si>
  <si>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</si>
  <si>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</si>
  <si>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</si>
  <si>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</si>
  <si>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</si>
  <si>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</si>
  <si>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</si>
  <si>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</si>
  <si>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</si>
  <si>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</si>
  <si>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</si>
  <si>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</si>
  <si>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</si>
  <si>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</si>
  <si>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</si>
  <si>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</si>
  <si>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</si>
  <si>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</si>
  <si>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</si>
  <si>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</si>
  <si>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전월 재고</t>
  </si>
  <si>
    <t>금월 입고</t>
  </si>
  <si>
    <t>월 소모 합계</t>
  </si>
  <si>
    <t>현 재고</t>
  </si>
  <si>
    <t>커피(퍼플-마스터피스)</t>
  </si>
  <si>
    <t>2026-10-27</t>
  </si>
  <si>
    <t>디카페인커피(퍼를-감성고릴라)</t>
  </si>
  <si>
    <t>2026-12-29</t>
  </si>
  <si>
    <t>시럽</t>
  </si>
  <si>
    <t>서울우유</t>
  </si>
  <si>
    <t>2028-01-22</t>
  </si>
  <si>
    <t>바닐라 파우더(퍼플랜드)</t>
  </si>
  <si>
    <t>2027-08-11</t>
  </si>
  <si>
    <t>초코 파우더(퍼플랜드)</t>
  </si>
  <si>
    <t>2027-04-04</t>
  </si>
  <si>
    <t>코코넛 파우더(퍼플랜드)</t>
  </si>
  <si>
    <t>2027-10-28</t>
  </si>
  <si>
    <t>복숭아 파우더(퍼플랜드</t>
  </si>
  <si>
    <t>2027-09-14</t>
  </si>
  <si>
    <t>플레인 파우더(퍼플랜드)</t>
  </si>
  <si>
    <t>2028-01-11</t>
  </si>
  <si>
    <t>말차 파우더(퍼플랜드)</t>
  </si>
  <si>
    <t>2027-06-03</t>
  </si>
  <si>
    <t>밀크 파우더(퍼플랜드)</t>
  </si>
  <si>
    <t>2027-05-12</t>
  </si>
  <si>
    <t>연유(메가)</t>
  </si>
  <si>
    <t>2027-05-21</t>
  </si>
  <si>
    <t>카라멜(메가)</t>
  </si>
  <si>
    <t>2026-09-09</t>
  </si>
  <si>
    <t>자몽 건조 과일(쿠팡)</t>
  </si>
  <si>
    <t>2027-09-04</t>
  </si>
  <si>
    <t>레몬 건조 과일(쿠팡)</t>
  </si>
  <si>
    <t>2027-07-03</t>
  </si>
  <si>
    <t>청귤 건초 과일(쿠팡)</t>
  </si>
  <si>
    <t>2027-07-12</t>
  </si>
  <si>
    <t>자몽 농축액(메가)</t>
  </si>
  <si>
    <t>2027-09-29</t>
  </si>
  <si>
    <t>레몬 농축액(메가)</t>
  </si>
  <si>
    <t>2027-07-14</t>
  </si>
  <si>
    <t>청귤 농축액(메가)</t>
  </si>
  <si>
    <t>2027-05-30</t>
  </si>
  <si>
    <t>감귤(네이버)</t>
  </si>
  <si>
    <t>2027-02-10</t>
  </si>
  <si>
    <t>수박주스(csf)</t>
  </si>
  <si>
    <t>2028-04-22</t>
  </si>
  <si>
    <t>냉동 딸기(메가)</t>
  </si>
  <si>
    <t>2027-01-20</t>
  </si>
  <si>
    <t>딸기잼(메가)</t>
  </si>
  <si>
    <t>2026-10-26</t>
  </si>
  <si>
    <t>블루베리쨈(메가)</t>
  </si>
  <si>
    <t>망고베이스(메가)</t>
  </si>
  <si>
    <t>2027-08-07</t>
  </si>
  <si>
    <t>탄산수 (박스30)메가</t>
  </si>
  <si>
    <t>2026-05-17</t>
  </si>
  <si>
    <t>빙수 팥(본사중앙창고)</t>
  </si>
  <si>
    <t>2026-11-10</t>
  </si>
  <si>
    <t>휘핑크림</t>
  </si>
  <si>
    <t>2026-12-20</t>
  </si>
  <si>
    <t>딸기 다이스</t>
  </si>
  <si>
    <t>2028-12-11</t>
  </si>
  <si>
    <t>그린올리브</t>
  </si>
  <si>
    <t>2027-11-04</t>
  </si>
  <si>
    <t>핫소스</t>
  </si>
  <si>
    <t>2027-03-09</t>
  </si>
  <si>
    <t>파슬리</t>
  </si>
  <si>
    <t>2028-04-25</t>
  </si>
  <si>
    <t>오미자차(본사중앙창고)</t>
  </si>
  <si>
    <t>밀크티(본사중앙창고)</t>
  </si>
  <si>
    <t>2026-09-05</t>
  </si>
  <si>
    <t>복숭아티</t>
  </si>
  <si>
    <t>땅콩버터(Crunchy)</t>
  </si>
  <si>
    <t>2026-10-08</t>
  </si>
  <si>
    <t>인절미(빙수용)</t>
  </si>
  <si>
    <t>2026-09-06</t>
  </si>
  <si>
    <t>커피땅콩</t>
  </si>
  <si>
    <t>아이스 컵(메가)  (줄)</t>
  </si>
  <si>
    <t>핫 컵  (줄)</t>
  </si>
  <si>
    <t>핫 두껑 (줄)</t>
  </si>
  <si>
    <t>아이스 뚜껑(98파이-메가)  (줄)</t>
  </si>
  <si>
    <t>스무디 뚜껑(98파이-메가)  (줄)</t>
  </si>
  <si>
    <t>아이스 컵(메가) 14oz  (줄)</t>
  </si>
  <si>
    <t>컵홀더(본사중앙창고)</t>
  </si>
  <si>
    <t>빨대 (소) 커피용</t>
  </si>
  <si>
    <t>빨대 (대) 스무디용</t>
  </si>
  <si>
    <t>세정제 커피 클린</t>
  </si>
  <si>
    <t>2026-09-29</t>
  </si>
  <si>
    <t>고르곤졸라피자(시카고)</t>
  </si>
  <si>
    <t>2026-09-22</t>
  </si>
  <si>
    <t>치킨 피자(시카고)</t>
  </si>
  <si>
    <t>2026-09-01</t>
  </si>
  <si>
    <t>페페로니 피자(시카고)</t>
  </si>
  <si>
    <t>콤비네이션  씬피자</t>
  </si>
  <si>
    <t>고르곤존라  씬피자</t>
  </si>
  <si>
    <t>불고기  씬피자</t>
  </si>
  <si>
    <t>2028-01-08</t>
  </si>
  <si>
    <t>시세 치킨 윙(네이버)</t>
  </si>
  <si>
    <t>2027-12-24</t>
  </si>
  <si>
    <t>시세 치킨 봉(네이버)</t>
  </si>
  <si>
    <t>2028-03-23</t>
  </si>
  <si>
    <t>점보 매콤닭다리</t>
  </si>
  <si>
    <t>2026-07-21</t>
  </si>
  <si>
    <t>까르보나라 파스타(쉐프엠-온라인)</t>
  </si>
  <si>
    <t>2026-07-17</t>
  </si>
  <si>
    <t>투움바 파스타(쉐프엠-온라인)</t>
  </si>
  <si>
    <t>라구파스타(쉐프엠- 온라인)</t>
  </si>
  <si>
    <t>2026-11-18</t>
  </si>
  <si>
    <t>소불고기 볶음밥</t>
  </si>
  <si>
    <t>대패삼겹살볶음밥</t>
  </si>
  <si>
    <t>간장버터계란밥</t>
  </si>
  <si>
    <t>2027-01-03</t>
  </si>
  <si>
    <t>얼그레이 곰돌(파미유-절판)</t>
  </si>
  <si>
    <t>2026-06-19 00:00:00</t>
  </si>
  <si>
    <t>카라멜 곰돌이 마들렌(파미유)</t>
  </si>
  <si>
    <t>2027-01-10</t>
  </si>
  <si>
    <t>초코 곰돌이 마들렌(파미유)</t>
  </si>
  <si>
    <t>플레인 곰돌이 마늘렌(파미유)</t>
  </si>
  <si>
    <t>2027-01-27</t>
  </si>
  <si>
    <t>치즈 스틱케이(파미유)</t>
  </si>
  <si>
    <t>2027-01-06</t>
  </si>
  <si>
    <t>쿠키앤치즈 스틱케이(파미유)</t>
  </si>
  <si>
    <t>2026-08-24</t>
  </si>
  <si>
    <t>링도넛츠 -초코(파미유)</t>
  </si>
  <si>
    <t>2026-09-13</t>
  </si>
  <si>
    <t>링도넛츠 -글레이츠(파미유)</t>
  </si>
  <si>
    <t>카야 대만샌드위치(파미유)</t>
  </si>
  <si>
    <t>햄치즈 대만샌드위치(파미유)</t>
  </si>
  <si>
    <t>2026-11-03</t>
  </si>
  <si>
    <t>마카다미아</t>
  </si>
  <si>
    <t>2027-10-16</t>
  </si>
  <si>
    <t>초코렛</t>
  </si>
  <si>
    <t>2026-11-26</t>
  </si>
  <si>
    <t>아몬드(빙수)</t>
  </si>
  <si>
    <t>떡볶이</t>
  </si>
  <si>
    <t>VINI COFFEE 안락동점 월간 식자재 현황 (원재료 간략)</t>
  </si>
  <si>
    <t>유통기한</t>
  </si>
  <si>
    <t>품목이름</t>
  </si>
  <si>
    <t>현재고</t>
  </si>
  <si>
    <t>VINI COFFEE 안락동점 월간 식자재 현황 (부자재 간략)</t>
  </si>
  <si>
    <t>VINI COFFEE 안락동점 월간 식자재 현황 (디저트&amp;완제품 간략)</t>
  </si>
  <si>
    <t>묵은지 볶음밥</t>
    <phoneticPr fontId="6" type="noConversion"/>
  </si>
  <si>
    <t>치킨데리야끼 볶음밥</t>
    <phoneticPr fontId="6" type="noConversion"/>
  </si>
  <si>
    <t>해물 볶음밥</t>
    <phoneticPr fontId="6" type="noConversion"/>
  </si>
  <si>
    <t>참치 볶음밥</t>
    <phoneticPr fontId="6" type="noConversion"/>
  </si>
  <si>
    <t>냉동 수박 다이스</t>
    <phoneticPr fontId="6" type="noConversion"/>
  </si>
  <si>
    <t>냉동 망고 다이스</t>
    <phoneticPr fontId="6" type="noConversion"/>
  </si>
  <si>
    <t>냉동 아보카도 다이스</t>
    <phoneticPr fontId="6" type="noConversion"/>
  </si>
  <si>
    <t>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</si>
</sst>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>
    <font>
      <sz val="11"/>
      <color theme="1"/>
      <name val="맑은 고딕"/>
      <family val="2"/>
      <scheme val="minor"/>
    </font>
    <font>
      <b/>
      <sz val="14"/>
      <color rgb="FF005B6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  <font>
      <b/>
      <sz val="14"/>
      <color rgb="FF1F497D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5B60"/>
        <bgColor rgb="FF005B60"/>
      </patternFill>
    </fill>
    <fill>
      <patternFill patternType="solid">
        <fgColor rgb="FFF9F9F9"/>
        <bgColor rgb="FFF9F9F9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FFC7CE"/>
      </patternFill>
    </fill>
    <fill>
      <patternFill patternType="solid">
        <fgColor theme="9"/>
        <bgColor rgb="FFF9F9F9"/>
      </patternFill>
    </fill>
    <fill>
      <patternFill patternType="solid">
        <fgColor rgb="FF2F3542"/>
        <bgColor rgb="FF2F354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3" fontId="4" fillId="3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3" fontId="4" fillId="6" borderId="1" xfId="0" applyNumberFormat="1" applyFont="1" applyFill="1" applyBorder="1"/>
    <xf numFmtId="176" fontId="3" fillId="0" borderId="1" xfId="0" applyNumberFormat="1" applyFont="1" applyBorder="1" applyAlignment="1">
      <alignment horizontal="center"/>
    </xf>
    <xf numFmtId="176" fontId="5" fillId="5" borderId="1" xfId="0" applyNumberFormat="1" applyFont="1" applyFill="1" applyBorder="1" applyAlignment="1">
      <alignment horizontal="center"/>
    </xf>
    <xf numFmtId="176" fontId="3" fillId="5" borderId="1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right" vertical="center"/>
    </xf>
    <xf numFmtId="176" fontId="9" fillId="0" borderId="2" xfId="0" applyNumberFormat="1" applyFont="1" applyBorder="1" applyAlignment="1">
      <alignment horizontal="center" vertical="center"/>
    </xf>
    <xf numFmtId="176" fontId="0" fillId="0" borderId="0" xfId="0" applyNumberFormat="1"/>
    <xf numFmtId="176" fontId="3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7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right"/>
    </xf>
  </cellXfs>
  <cellStyles count="1">
    <cellStyle name="표준" xfId="0" builtinId="0"/>
  </cellStyles>
  <dxfs count="16"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"/>
  <sheetViews>
    <sheetView workbookViewId="0">
      <pane xSplit="2" ySplit="3" topLeftCell="M4" activePane="bottomRight" state="frozen"/>
      <selection activeCell="G83" sqref="G83"/>
      <selection pane="topRight" activeCell="G83" sqref="G83"/>
      <selection pane="bottomLeft" activeCell="G83" sqref="G83"/>
      <selection pane="bottomRight" activeCell="A5" sqref="A5"/>
    </sheetView>
  </sheetViews>
  <sheetFormatPr defaultRowHeight="17.399999999999999"/>
  <cols>
    <col min="1" max="1" width="16.69921875" customWidth="1"/>
    <col min="2" max="2" width="24" customWidth="1"/>
    <col min="3" max="33" width="5" customWidth="1"/>
    <col min="34" max="37" width="9.09765625" customWidth="1"/>
  </cols>
  <sheetData>
    <row r="1" spans="1:37" ht="16.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ht="16.5" customHeight="1"/>
    <row r="3" spans="1:37" ht="25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</row>
    <row r="4" spans="1:37" ht="16.5" customHeight="1">
      <c r="A4" s="9">
        <v>46793</v>
      </c>
      <c r="B4" s="2" t="s">
        <v>38</v>
      </c>
      <c r="C4" s="3">
        <v>0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8">
        <v>19</v>
      </c>
      <c r="AI4" s="8">
        <v>0</v>
      </c>
      <c r="AJ4" s="8">
        <f t="shared" ref="AJ4:AJ41" si="0">SUM(C4:AG4)</f>
        <v>2</v>
      </c>
      <c r="AK4" s="8">
        <f t="shared" ref="AK4:AK41" si="1">AH4+AI4-AJ4</f>
        <v>17</v>
      </c>
    </row>
    <row r="5" spans="1:37" ht="16.5" customHeight="1">
      <c r="A5" s="9" t="s">
        <v>39</v>
      </c>
      <c r="B5" s="2" t="s">
        <v>40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8">
        <v>8</v>
      </c>
      <c r="AI5" s="8">
        <v>0</v>
      </c>
      <c r="AJ5" s="8">
        <f t="shared" si="0"/>
        <v>0</v>
      </c>
      <c r="AK5" s="8">
        <f t="shared" si="1"/>
        <v>8</v>
      </c>
    </row>
    <row r="6" spans="1:37" ht="16.5" customHeight="1">
      <c r="A6" s="9" t="s">
        <v>41</v>
      </c>
      <c r="B6" s="2" t="s">
        <v>42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8">
        <v>7</v>
      </c>
      <c r="AI6" s="8">
        <v>0</v>
      </c>
      <c r="AJ6" s="8">
        <f t="shared" si="0"/>
        <v>0</v>
      </c>
      <c r="AK6" s="8">
        <f t="shared" si="1"/>
        <v>7</v>
      </c>
    </row>
    <row r="7" spans="1:37" ht="16.5" customHeight="1">
      <c r="A7" s="10">
        <v>46213</v>
      </c>
      <c r="B7" s="7" t="s">
        <v>43</v>
      </c>
      <c r="C7" s="3">
        <v>4</v>
      </c>
      <c r="D7" s="3">
        <v>6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8">
        <v>3</v>
      </c>
      <c r="AI7" s="8">
        <v>16</v>
      </c>
      <c r="AJ7" s="8">
        <f t="shared" si="0"/>
        <v>10</v>
      </c>
      <c r="AK7" s="8">
        <f t="shared" si="1"/>
        <v>9</v>
      </c>
    </row>
    <row r="8" spans="1:37" ht="16.5" customHeight="1">
      <c r="A8" s="9" t="s">
        <v>44</v>
      </c>
      <c r="B8" s="2" t="s">
        <v>45</v>
      </c>
      <c r="C8" s="3">
        <v>0</v>
      </c>
      <c r="D8" s="22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8">
        <v>5</v>
      </c>
      <c r="AI8" s="8">
        <v>0</v>
      </c>
      <c r="AJ8" s="8">
        <f t="shared" si="0"/>
        <v>0</v>
      </c>
      <c r="AK8" s="8">
        <f t="shared" si="1"/>
        <v>5</v>
      </c>
    </row>
    <row r="9" spans="1:37" ht="16.5" customHeight="1">
      <c r="A9" s="9" t="s">
        <v>46</v>
      </c>
      <c r="B9" s="2" t="s">
        <v>47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8">
        <v>4</v>
      </c>
      <c r="AI9" s="8">
        <v>1</v>
      </c>
      <c r="AJ9" s="8">
        <f t="shared" si="0"/>
        <v>1</v>
      </c>
      <c r="AK9" s="8">
        <f t="shared" si="1"/>
        <v>4</v>
      </c>
    </row>
    <row r="10" spans="1:37" ht="16.5" customHeight="1">
      <c r="A10" s="9" t="s">
        <v>48</v>
      </c>
      <c r="B10" s="2" t="s">
        <v>49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8">
        <v>2</v>
      </c>
      <c r="AI10" s="8">
        <v>0</v>
      </c>
      <c r="AJ10" s="8">
        <f t="shared" si="0"/>
        <v>0</v>
      </c>
      <c r="AK10" s="8">
        <f t="shared" si="1"/>
        <v>2</v>
      </c>
    </row>
    <row r="11" spans="1:37" ht="16.5" customHeight="1">
      <c r="A11" s="9" t="s">
        <v>50</v>
      </c>
      <c r="B11" s="2" t="s">
        <v>51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8">
        <v>5</v>
      </c>
      <c r="AI11" s="8">
        <v>0</v>
      </c>
      <c r="AJ11" s="8">
        <f t="shared" si="0"/>
        <v>0</v>
      </c>
      <c r="AK11" s="8">
        <f t="shared" si="1"/>
        <v>5</v>
      </c>
    </row>
    <row r="12" spans="1:37" ht="16.5" customHeight="1">
      <c r="A12" s="9" t="s">
        <v>52</v>
      </c>
      <c r="B12" s="2" t="s">
        <v>53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8">
        <v>5</v>
      </c>
      <c r="AI12" s="8">
        <v>0</v>
      </c>
      <c r="AJ12" s="8">
        <f t="shared" si="0"/>
        <v>0</v>
      </c>
      <c r="AK12" s="8">
        <f t="shared" si="1"/>
        <v>5</v>
      </c>
    </row>
    <row r="13" spans="1:37" ht="16.5" customHeight="1">
      <c r="A13" s="9" t="s">
        <v>54</v>
      </c>
      <c r="B13" s="2" t="s">
        <v>55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8">
        <v>4</v>
      </c>
      <c r="AI13" s="8">
        <v>1</v>
      </c>
      <c r="AJ13" s="8">
        <f t="shared" si="0"/>
        <v>0</v>
      </c>
      <c r="AK13" s="8">
        <f t="shared" si="1"/>
        <v>5</v>
      </c>
    </row>
    <row r="14" spans="1:37" ht="16.5" customHeight="1">
      <c r="A14" s="9" t="s">
        <v>56</v>
      </c>
      <c r="B14" s="2" t="s">
        <v>57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8">
        <v>3</v>
      </c>
      <c r="AI14" s="8">
        <v>0</v>
      </c>
      <c r="AJ14" s="8">
        <f t="shared" si="0"/>
        <v>0</v>
      </c>
      <c r="AK14" s="8">
        <f t="shared" si="1"/>
        <v>3</v>
      </c>
    </row>
    <row r="15" spans="1:37" ht="16.5" customHeight="1">
      <c r="A15" s="9" t="s">
        <v>58</v>
      </c>
      <c r="B15" s="2" t="s">
        <v>59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8">
        <v>1</v>
      </c>
      <c r="AI15" s="8">
        <v>0</v>
      </c>
      <c r="AJ15" s="8">
        <f t="shared" si="0"/>
        <v>0</v>
      </c>
      <c r="AK15" s="8">
        <f t="shared" si="1"/>
        <v>1</v>
      </c>
    </row>
    <row r="16" spans="1:37" ht="16.5" customHeight="1">
      <c r="A16" s="9" t="s">
        <v>60</v>
      </c>
      <c r="B16" s="2" t="s">
        <v>61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8">
        <v>0</v>
      </c>
      <c r="AI16" s="8">
        <v>0</v>
      </c>
      <c r="AJ16" s="8">
        <f t="shared" si="0"/>
        <v>0</v>
      </c>
      <c r="AK16" s="8">
        <f t="shared" si="1"/>
        <v>0</v>
      </c>
    </row>
    <row r="17" spans="1:37" ht="16.5" customHeight="1">
      <c r="A17" s="9" t="s">
        <v>62</v>
      </c>
      <c r="B17" s="2" t="s">
        <v>63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8">
        <v>0</v>
      </c>
      <c r="AI17" s="8">
        <v>0</v>
      </c>
      <c r="AJ17" s="8">
        <f t="shared" si="0"/>
        <v>0</v>
      </c>
      <c r="AK17" s="8">
        <f t="shared" si="1"/>
        <v>0</v>
      </c>
    </row>
    <row r="18" spans="1:37" ht="16.5" customHeight="1">
      <c r="A18" s="9" t="s">
        <v>64</v>
      </c>
      <c r="B18" s="2" t="s">
        <v>65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8">
        <v>2</v>
      </c>
      <c r="AI18" s="8">
        <v>0</v>
      </c>
      <c r="AJ18" s="8">
        <f t="shared" si="0"/>
        <v>0</v>
      </c>
      <c r="AK18" s="8">
        <f t="shared" si="1"/>
        <v>2</v>
      </c>
    </row>
    <row r="19" spans="1:37" ht="16.5" customHeight="1">
      <c r="A19" s="9" t="s">
        <v>66</v>
      </c>
      <c r="B19" s="2" t="s">
        <v>67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8">
        <v>0</v>
      </c>
      <c r="AI19" s="8">
        <v>0</v>
      </c>
      <c r="AJ19" s="8">
        <f t="shared" si="0"/>
        <v>0</v>
      </c>
      <c r="AK19" s="8">
        <f t="shared" si="1"/>
        <v>0</v>
      </c>
    </row>
    <row r="20" spans="1:37" ht="16.5" customHeight="1">
      <c r="A20" s="9" t="s">
        <v>68</v>
      </c>
      <c r="B20" s="2" t="s">
        <v>69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8">
        <v>2</v>
      </c>
      <c r="AI20" s="8">
        <v>0</v>
      </c>
      <c r="AJ20" s="8">
        <f t="shared" si="0"/>
        <v>0</v>
      </c>
      <c r="AK20" s="8">
        <f t="shared" si="1"/>
        <v>2</v>
      </c>
    </row>
    <row r="21" spans="1:37" ht="16.5" customHeight="1">
      <c r="A21" s="9" t="s">
        <v>70</v>
      </c>
      <c r="B21" s="2" t="s">
        <v>71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8">
        <v>3</v>
      </c>
      <c r="AI21" s="8">
        <v>0</v>
      </c>
      <c r="AJ21" s="8">
        <f t="shared" si="0"/>
        <v>0</v>
      </c>
      <c r="AK21" s="8">
        <f t="shared" si="1"/>
        <v>3</v>
      </c>
    </row>
    <row r="22" spans="1:37" ht="16.5" customHeight="1">
      <c r="A22" s="9" t="s">
        <v>72</v>
      </c>
      <c r="B22" s="2" t="s">
        <v>73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8">
        <v>0</v>
      </c>
      <c r="AI22" s="8">
        <v>4</v>
      </c>
      <c r="AJ22" s="8">
        <f t="shared" si="0"/>
        <v>0</v>
      </c>
      <c r="AK22" s="8">
        <f t="shared" si="1"/>
        <v>4</v>
      </c>
    </row>
    <row r="23" spans="1:37" ht="16.5" customHeight="1">
      <c r="A23" s="9" t="s">
        <v>74</v>
      </c>
      <c r="B23" s="2" t="s">
        <v>75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8">
        <v>3</v>
      </c>
      <c r="AI23" s="8">
        <v>0</v>
      </c>
      <c r="AJ23" s="8">
        <f t="shared" si="0"/>
        <v>0</v>
      </c>
      <c r="AK23" s="8">
        <f t="shared" si="1"/>
        <v>3</v>
      </c>
    </row>
    <row r="24" spans="1:37" ht="16.5" customHeight="1">
      <c r="A24" s="9" t="s">
        <v>76</v>
      </c>
      <c r="B24" s="2" t="s">
        <v>77</v>
      </c>
      <c r="C24" s="3">
        <v>0</v>
      </c>
      <c r="D24" s="3">
        <v>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8">
        <v>14</v>
      </c>
      <c r="AI24" s="8">
        <v>0</v>
      </c>
      <c r="AJ24" s="8">
        <f t="shared" si="0"/>
        <v>3</v>
      </c>
      <c r="AK24" s="8">
        <f t="shared" si="1"/>
        <v>11</v>
      </c>
    </row>
    <row r="25" spans="1:37" ht="16.5" customHeight="1">
      <c r="A25" s="9" t="s">
        <v>78</v>
      </c>
      <c r="B25" s="2" t="s">
        <v>79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8">
        <v>2</v>
      </c>
      <c r="AI25" s="8">
        <v>0</v>
      </c>
      <c r="AJ25" s="8">
        <f t="shared" si="0"/>
        <v>0</v>
      </c>
      <c r="AK25" s="8">
        <f t="shared" si="1"/>
        <v>2</v>
      </c>
    </row>
    <row r="26" spans="1:37" ht="16.5" customHeight="1">
      <c r="A26" s="9" t="s">
        <v>80</v>
      </c>
      <c r="B26" s="2" t="s">
        <v>81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8">
        <v>3</v>
      </c>
      <c r="AI26" s="8">
        <v>1</v>
      </c>
      <c r="AJ26" s="8">
        <f t="shared" si="0"/>
        <v>1</v>
      </c>
      <c r="AK26" s="8">
        <f t="shared" si="1"/>
        <v>3</v>
      </c>
    </row>
    <row r="27" spans="1:37" ht="16.5" customHeight="1">
      <c r="A27" s="9" t="s">
        <v>82</v>
      </c>
      <c r="B27" s="2" t="s">
        <v>83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8">
        <v>1</v>
      </c>
      <c r="AI27" s="8">
        <v>0</v>
      </c>
      <c r="AJ27" s="8">
        <f t="shared" si="0"/>
        <v>0</v>
      </c>
      <c r="AK27" s="8">
        <f t="shared" si="1"/>
        <v>1</v>
      </c>
    </row>
    <row r="28" spans="1:37" ht="16.5" customHeight="1">
      <c r="A28" s="9" t="s">
        <v>60</v>
      </c>
      <c r="B28" s="2" t="s">
        <v>84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8">
        <v>0</v>
      </c>
      <c r="AI28" s="8">
        <v>4</v>
      </c>
      <c r="AJ28" s="8">
        <f t="shared" si="0"/>
        <v>0</v>
      </c>
      <c r="AK28" s="8">
        <f t="shared" si="1"/>
        <v>4</v>
      </c>
    </row>
    <row r="29" spans="1:37" ht="16.5" customHeight="1">
      <c r="A29" s="9" t="s">
        <v>85</v>
      </c>
      <c r="B29" s="2" t="s">
        <v>86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8">
        <v>72</v>
      </c>
      <c r="AI29" s="8">
        <v>0</v>
      </c>
      <c r="AJ29" s="8">
        <f t="shared" si="0"/>
        <v>0</v>
      </c>
      <c r="AK29" s="8">
        <f t="shared" si="1"/>
        <v>72</v>
      </c>
    </row>
    <row r="30" spans="1:37" ht="16.5" customHeight="1">
      <c r="A30" s="11" t="s">
        <v>87</v>
      </c>
      <c r="B30" s="7" t="s">
        <v>88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8">
        <v>5</v>
      </c>
      <c r="AI30" s="8">
        <v>0</v>
      </c>
      <c r="AJ30" s="8">
        <f t="shared" si="0"/>
        <v>0</v>
      </c>
      <c r="AK30" s="8">
        <f t="shared" si="1"/>
        <v>5</v>
      </c>
    </row>
    <row r="31" spans="1:37" ht="16.5" customHeight="1">
      <c r="A31" s="9" t="s">
        <v>89</v>
      </c>
      <c r="B31" s="2" t="s">
        <v>90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8">
        <v>10</v>
      </c>
      <c r="AI31" s="8">
        <v>0</v>
      </c>
      <c r="AJ31" s="8">
        <f t="shared" si="0"/>
        <v>0</v>
      </c>
      <c r="AK31" s="8">
        <f t="shared" si="1"/>
        <v>10</v>
      </c>
    </row>
    <row r="32" spans="1:37" ht="16.5" customHeight="1">
      <c r="A32" s="9" t="s">
        <v>91</v>
      </c>
      <c r="B32" s="2" t="s">
        <v>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8">
        <v>0</v>
      </c>
      <c r="AI32" s="8">
        <v>0</v>
      </c>
      <c r="AJ32" s="8">
        <f t="shared" si="0"/>
        <v>0</v>
      </c>
      <c r="AK32" s="8">
        <f t="shared" si="1"/>
        <v>0</v>
      </c>
    </row>
    <row r="33" spans="1:37" ht="16.5" customHeight="1">
      <c r="A33" s="9" t="s">
        <v>93</v>
      </c>
      <c r="B33" s="2" t="s">
        <v>94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8">
        <v>9</v>
      </c>
      <c r="AI33" s="8">
        <v>0</v>
      </c>
      <c r="AJ33" s="8">
        <f t="shared" si="0"/>
        <v>0</v>
      </c>
      <c r="AK33" s="8">
        <f t="shared" si="1"/>
        <v>9</v>
      </c>
    </row>
    <row r="34" spans="1:37" ht="16.5" customHeight="1">
      <c r="A34" s="9" t="s">
        <v>95</v>
      </c>
      <c r="B34" s="2" t="s">
        <v>96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8">
        <v>0</v>
      </c>
      <c r="AI34" s="8">
        <v>0</v>
      </c>
      <c r="AJ34" s="8">
        <f t="shared" si="0"/>
        <v>0</v>
      </c>
      <c r="AK34" s="8">
        <f t="shared" si="1"/>
        <v>0</v>
      </c>
    </row>
    <row r="35" spans="1:37" ht="16.5" customHeight="1">
      <c r="A35" s="9" t="s">
        <v>97</v>
      </c>
      <c r="B35" s="2" t="s">
        <v>98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8">
        <v>0</v>
      </c>
      <c r="AI35" s="8">
        <v>0</v>
      </c>
      <c r="AJ35" s="8">
        <f t="shared" si="0"/>
        <v>0</v>
      </c>
      <c r="AK35" s="8">
        <f t="shared" si="1"/>
        <v>0</v>
      </c>
    </row>
    <row r="36" spans="1:37" ht="16.5" customHeight="1">
      <c r="A36" s="9" t="s">
        <v>99</v>
      </c>
      <c r="B36" s="2" t="s">
        <v>100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8">
        <v>45</v>
      </c>
      <c r="AI36" s="8">
        <v>0</v>
      </c>
      <c r="AJ36" s="8">
        <f t="shared" si="0"/>
        <v>2</v>
      </c>
      <c r="AK36" s="8">
        <f t="shared" si="1"/>
        <v>43</v>
      </c>
    </row>
    <row r="37" spans="1:37" ht="16.5" customHeight="1">
      <c r="A37" s="9" t="s">
        <v>99</v>
      </c>
      <c r="B37" s="2" t="s">
        <v>101</v>
      </c>
      <c r="C37" s="3">
        <v>2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8">
        <v>6</v>
      </c>
      <c r="AI37" s="8">
        <v>0</v>
      </c>
      <c r="AJ37" s="8">
        <f t="shared" si="0"/>
        <v>3</v>
      </c>
      <c r="AK37" s="8">
        <f t="shared" si="1"/>
        <v>3</v>
      </c>
    </row>
    <row r="38" spans="1:37" ht="16.5" customHeight="1">
      <c r="A38" s="9" t="s">
        <v>102</v>
      </c>
      <c r="B38" s="2" t="s">
        <v>103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8">
        <v>7</v>
      </c>
      <c r="AI38" s="8">
        <v>0</v>
      </c>
      <c r="AJ38" s="8">
        <f t="shared" si="0"/>
        <v>1</v>
      </c>
      <c r="AK38" s="8">
        <f t="shared" si="1"/>
        <v>6</v>
      </c>
    </row>
    <row r="39" spans="1:37" ht="16.5" customHeight="1">
      <c r="A39" s="9" t="s">
        <v>89</v>
      </c>
      <c r="B39" s="2" t="s">
        <v>104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8">
        <v>36</v>
      </c>
      <c r="AI39" s="8">
        <v>0</v>
      </c>
      <c r="AJ39" s="8">
        <f t="shared" si="0"/>
        <v>0</v>
      </c>
      <c r="AK39" s="8">
        <f t="shared" si="1"/>
        <v>36</v>
      </c>
    </row>
    <row r="40" spans="1:37" ht="16.5" customHeight="1">
      <c r="A40" s="9" t="s">
        <v>105</v>
      </c>
      <c r="B40" s="2" t="s">
        <v>106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8">
        <v>1</v>
      </c>
      <c r="AI40" s="8">
        <v>0</v>
      </c>
      <c r="AJ40" s="8">
        <f t="shared" si="0"/>
        <v>0</v>
      </c>
      <c r="AK40" s="8">
        <f t="shared" si="1"/>
        <v>1</v>
      </c>
    </row>
    <row r="41" spans="1:37" ht="16.5" customHeight="1">
      <c r="A41" s="9" t="s">
        <v>107</v>
      </c>
      <c r="B41" s="2" t="s">
        <v>108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8">
        <v>1</v>
      </c>
      <c r="AI41" s="8">
        <v>0</v>
      </c>
      <c r="AJ41" s="8">
        <f t="shared" si="0"/>
        <v>0</v>
      </c>
      <c r="AK41" s="8">
        <f t="shared" si="1"/>
        <v>1</v>
      </c>
    </row>
    <row r="42" spans="1:37" ht="16.5" customHeight="1">
      <c r="A42" s="9">
        <v>47011</v>
      </c>
      <c r="B42" s="2" t="s">
        <v>178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8">
        <v>0</v>
      </c>
      <c r="AI42" s="8">
        <v>2</v>
      </c>
      <c r="AJ42" s="8">
        <f t="shared" ref="AJ42:AJ44" si="2">SUM(C42:AG42)</f>
        <v>0</v>
      </c>
      <c r="AK42" s="8">
        <f t="shared" ref="AK42:AK44" si="3">AH42+AI42-AJ42</f>
        <v>2</v>
      </c>
    </row>
    <row r="43" spans="1:37" ht="16.5" customHeight="1">
      <c r="A43" s="9">
        <v>47180</v>
      </c>
      <c r="B43" s="2" t="s">
        <v>177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8">
        <v>0</v>
      </c>
      <c r="AI43" s="8">
        <v>5</v>
      </c>
      <c r="AJ43" s="8">
        <f t="shared" si="2"/>
        <v>0</v>
      </c>
      <c r="AK43" s="8">
        <f t="shared" si="3"/>
        <v>5</v>
      </c>
    </row>
    <row r="44" spans="1:37" ht="16.5" customHeight="1">
      <c r="A44" s="9">
        <v>46919</v>
      </c>
      <c r="B44" s="2" t="s">
        <v>179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8">
        <v>0</v>
      </c>
      <c r="AI44" s="8">
        <v>4</v>
      </c>
      <c r="AJ44" s="8">
        <f t="shared" si="2"/>
        <v>0</v>
      </c>
      <c r="AK44" s="8">
        <f t="shared" si="3"/>
        <v>4</v>
      </c>
    </row>
    <row r="45" spans="1:37" ht="16.5" customHeight="1">
      <c r="A45" s="9">
        <v>46835</v>
      </c>
      <c r="B45" s="2" t="s">
        <v>180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8">
        <v>0</v>
      </c>
      <c r="AI45" s="8">
        <v>2</v>
      </c>
      <c r="AJ45" s="8">
        <f t="shared" ref="AJ45" si="4">SUM(C45:AG45)</f>
        <v>0</v>
      </c>
      <c r="AK45" s="8">
        <f t="shared" ref="AK45" si="5">AH45+AI45-AJ45</f>
        <v>2</v>
      </c>
    </row>
  </sheetData>
  <mergeCells count="1">
    <mergeCell ref="A1:AK1"/>
  </mergeCells>
  <phoneticPr fontId="6" type="noConversion"/>
  <conditionalFormatting sqref="A4:AK4 A5:AG39 AH5:AK45">
    <cfRule type="expression" dxfId="15" priority="3" stopIfTrue="1">
      <formula>AND($A4-TODAY()&lt;=7, $A4-TODAY()&gt;=0)</formula>
    </cfRule>
  </conditionalFormatting>
  <conditionalFormatting sqref="A40:AG40">
    <cfRule type="expression" dxfId="14" priority="2" stopIfTrue="1">
      <formula>AND($A40-TODAY()&lt;=7, $A40-TODAY()&gt;=0)</formula>
    </cfRule>
  </conditionalFormatting>
  <conditionalFormatting sqref="A41:AG45">
    <cfRule type="expression" dxfId="13" priority="1" stopIfTrue="1">
      <formula>AND($A41-TODAY()&lt;=7, $A41-TODAY()&gt;=0)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3"/>
  <sheetViews>
    <sheetView workbookViewId="0">
      <pane xSplit="2" ySplit="3" topLeftCell="C4" activePane="bottomRight" state="frozen"/>
      <selection activeCell="G83" sqref="G83"/>
      <selection pane="topRight" activeCell="G83" sqref="G83"/>
      <selection pane="bottomLeft" activeCell="G83" sqref="G83"/>
      <selection pane="bottomRight" activeCell="G83" sqref="G83"/>
    </sheetView>
  </sheetViews>
  <sheetFormatPr defaultRowHeight="17.399999999999999"/>
  <cols>
    <col min="1" max="1" width="14.8984375" customWidth="1"/>
    <col min="2" max="2" width="24" customWidth="1"/>
    <col min="3" max="33" width="5" customWidth="1"/>
    <col min="34" max="37" width="9" customWidth="1"/>
  </cols>
  <sheetData>
    <row r="1" spans="1:37" ht="16.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ht="16.5" customHeight="1"/>
    <row r="3" spans="1:37" ht="25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</row>
    <row r="4" spans="1:37" ht="16.5" customHeight="1">
      <c r="A4" s="6"/>
      <c r="B4" s="2" t="s">
        <v>109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v>0</v>
      </c>
      <c r="AI4" s="4">
        <v>47</v>
      </c>
      <c r="AJ4" s="4">
        <f t="shared" ref="AJ4:AJ13" si="0">SUM(C51:AG51)</f>
        <v>0</v>
      </c>
      <c r="AK4" s="4">
        <f t="shared" ref="AK4:AK13" si="1">AH51+AI51-AJ51</f>
        <v>0</v>
      </c>
    </row>
    <row r="5" spans="1:37" ht="16.5" customHeight="1">
      <c r="A5" s="6"/>
      <c r="B5" s="2" t="s">
        <v>110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0</v>
      </c>
      <c r="AI5" s="4">
        <v>24</v>
      </c>
      <c r="AJ5" s="4">
        <f t="shared" si="0"/>
        <v>0</v>
      </c>
      <c r="AK5" s="4">
        <f t="shared" si="1"/>
        <v>0</v>
      </c>
    </row>
    <row r="6" spans="1:37" ht="16.5" customHeight="1">
      <c r="A6" s="6"/>
      <c r="B6" s="2" t="s">
        <v>111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  <c r="AI6" s="4">
        <v>15</v>
      </c>
      <c r="AJ6" s="4">
        <f t="shared" si="0"/>
        <v>0</v>
      </c>
      <c r="AK6" s="4">
        <f t="shared" si="1"/>
        <v>0</v>
      </c>
    </row>
    <row r="7" spans="1:37" ht="16.5" customHeight="1">
      <c r="A7" s="6"/>
      <c r="B7" s="2" t="s">
        <v>112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0</v>
      </c>
      <c r="AI7" s="4">
        <v>28</v>
      </c>
      <c r="AJ7" s="4">
        <f t="shared" si="0"/>
        <v>0</v>
      </c>
      <c r="AK7" s="4">
        <f t="shared" si="1"/>
        <v>0</v>
      </c>
    </row>
    <row r="8" spans="1:37" ht="16.5" customHeight="1">
      <c r="A8" s="6"/>
      <c r="B8" s="2" t="s">
        <v>113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0</v>
      </c>
      <c r="AI8" s="4">
        <v>20</v>
      </c>
      <c r="AJ8" s="4">
        <f t="shared" si="0"/>
        <v>0</v>
      </c>
      <c r="AK8" s="4">
        <f t="shared" si="1"/>
        <v>0</v>
      </c>
    </row>
    <row r="9" spans="1:37" ht="16.5" customHeight="1">
      <c r="A9" s="6"/>
      <c r="B9" s="2" t="s">
        <v>114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0</v>
      </c>
      <c r="AI9" s="4">
        <v>9</v>
      </c>
      <c r="AJ9" s="4">
        <f t="shared" si="0"/>
        <v>0</v>
      </c>
      <c r="AK9" s="4">
        <f t="shared" si="1"/>
        <v>0</v>
      </c>
    </row>
    <row r="10" spans="1:37" ht="16.5" customHeight="1">
      <c r="A10" s="6"/>
      <c r="B10" s="2" t="s">
        <v>115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0</v>
      </c>
      <c r="AI10" s="4">
        <v>45</v>
      </c>
      <c r="AJ10" s="4">
        <f t="shared" si="0"/>
        <v>0</v>
      </c>
      <c r="AK10" s="4">
        <f t="shared" si="1"/>
        <v>0</v>
      </c>
    </row>
    <row r="11" spans="1:37" ht="16.5" customHeight="1">
      <c r="A11" s="6"/>
      <c r="B11" s="2" t="s">
        <v>116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0</v>
      </c>
      <c r="AI11" s="4">
        <v>0</v>
      </c>
      <c r="AJ11" s="4">
        <f t="shared" si="0"/>
        <v>0</v>
      </c>
      <c r="AK11" s="4">
        <f t="shared" si="1"/>
        <v>0</v>
      </c>
    </row>
    <row r="12" spans="1:37" ht="16.5" customHeight="1">
      <c r="A12" s="6"/>
      <c r="B12" s="2" t="s">
        <v>117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0</v>
      </c>
      <c r="AI12" s="4">
        <v>0</v>
      </c>
      <c r="AJ12" s="4">
        <f t="shared" si="0"/>
        <v>0</v>
      </c>
      <c r="AK12" s="4">
        <f t="shared" si="1"/>
        <v>0</v>
      </c>
    </row>
    <row r="13" spans="1:37" ht="16.5" customHeight="1">
      <c r="A13" s="6"/>
      <c r="B13" s="2" t="s">
        <v>118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 s="4">
        <v>0</v>
      </c>
      <c r="AJ13" s="4">
        <f t="shared" si="0"/>
        <v>0</v>
      </c>
      <c r="AK13" s="4">
        <f t="shared" si="1"/>
        <v>0</v>
      </c>
    </row>
  </sheetData>
  <mergeCells count="1">
    <mergeCell ref="A1:AK1"/>
  </mergeCells>
  <phoneticPr fontId="6" type="noConversion"/>
  <conditionalFormatting sqref="A4:AK13">
    <cfRule type="expression" dxfId="12" priority="1" stopIfTrue="1">
      <formula>AND($A4-TODAY()&lt;=7, $A4-TODAY()&gt;=0)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0"/>
  <sheetViews>
    <sheetView workbookViewId="0">
      <pane xSplit="2" ySplit="3" topLeftCell="K13" activePane="bottomRight" state="frozen"/>
      <selection activeCell="G83" sqref="G83"/>
      <selection pane="topRight" activeCell="G83" sqref="G83"/>
      <selection pane="bottomLeft" activeCell="G83" sqref="G83"/>
      <selection pane="bottomRight" activeCell="AK21" sqref="AK21"/>
    </sheetView>
  </sheetViews>
  <sheetFormatPr defaultRowHeight="17.399999999999999"/>
  <cols>
    <col min="1" max="1" width="16" customWidth="1"/>
    <col min="2" max="2" width="24" customWidth="1"/>
    <col min="3" max="33" width="4.5" customWidth="1"/>
    <col min="34" max="37" width="10.5" customWidth="1"/>
  </cols>
  <sheetData>
    <row r="1" spans="1:37" ht="16.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ht="16.5" customHeight="1"/>
    <row r="3" spans="1:37" ht="25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</row>
    <row r="5" spans="1:37" ht="16.5" customHeight="1">
      <c r="A5" s="9" t="s">
        <v>119</v>
      </c>
      <c r="B5" s="2" t="s">
        <v>120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29</v>
      </c>
      <c r="AI5" s="4">
        <v>0</v>
      </c>
      <c r="AJ5" s="4">
        <f t="shared" ref="AJ5:AJ39" si="0">SUM(C5:AG5)</f>
        <v>0</v>
      </c>
      <c r="AK5" s="4">
        <f t="shared" ref="AK5:AK39" si="1">AH5+AI5-AJ5</f>
        <v>29</v>
      </c>
    </row>
    <row r="6" spans="1:37" ht="16.5" customHeight="1">
      <c r="A6" s="9" t="s">
        <v>121</v>
      </c>
      <c r="B6" s="2" t="s">
        <v>122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29</v>
      </c>
      <c r="AI6" s="4">
        <v>0</v>
      </c>
      <c r="AJ6" s="4">
        <f t="shared" si="0"/>
        <v>0</v>
      </c>
      <c r="AK6" s="4">
        <f t="shared" si="1"/>
        <v>29</v>
      </c>
    </row>
    <row r="7" spans="1:37" ht="16.5" customHeight="1">
      <c r="A7" s="9" t="s">
        <v>123</v>
      </c>
      <c r="B7" s="2" t="s">
        <v>124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32</v>
      </c>
      <c r="AI7" s="4">
        <v>1</v>
      </c>
      <c r="AJ7" s="4">
        <f t="shared" si="0"/>
        <v>0</v>
      </c>
      <c r="AK7" s="4">
        <f t="shared" si="1"/>
        <v>33</v>
      </c>
    </row>
    <row r="8" spans="1:37" ht="16.5" customHeight="1">
      <c r="A8" s="9" t="s">
        <v>82</v>
      </c>
      <c r="B8" s="2" t="s">
        <v>125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6</v>
      </c>
      <c r="AI8" s="4">
        <v>20</v>
      </c>
      <c r="AJ8" s="4">
        <f t="shared" si="0"/>
        <v>0</v>
      </c>
      <c r="AK8" s="4">
        <f t="shared" si="1"/>
        <v>26</v>
      </c>
    </row>
    <row r="9" spans="1:37" ht="16.5" customHeight="1">
      <c r="A9" s="9" t="s">
        <v>82</v>
      </c>
      <c r="B9" s="2" t="s">
        <v>126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6</v>
      </c>
      <c r="AI9" s="4">
        <v>20</v>
      </c>
      <c r="AJ9" s="4">
        <f t="shared" si="0"/>
        <v>0</v>
      </c>
      <c r="AK9" s="4">
        <f t="shared" si="1"/>
        <v>26</v>
      </c>
    </row>
    <row r="10" spans="1:37" ht="16.5" customHeight="1">
      <c r="A10" s="9" t="s">
        <v>105</v>
      </c>
      <c r="B10" s="2" t="s">
        <v>127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10</v>
      </c>
      <c r="AI10" s="4">
        <v>0</v>
      </c>
      <c r="AJ10" s="4">
        <f t="shared" si="0"/>
        <v>0</v>
      </c>
      <c r="AK10" s="4">
        <f t="shared" si="1"/>
        <v>10</v>
      </c>
    </row>
    <row r="11" spans="1:37" ht="16.5" customHeight="1">
      <c r="A11" s="9" t="s">
        <v>128</v>
      </c>
      <c r="B11" s="2" t="s">
        <v>129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3</v>
      </c>
      <c r="AI11" s="4">
        <v>0</v>
      </c>
      <c r="AJ11" s="4">
        <f t="shared" si="0"/>
        <v>0</v>
      </c>
      <c r="AK11" s="4">
        <f t="shared" si="1"/>
        <v>3</v>
      </c>
    </row>
    <row r="12" spans="1:37" ht="16.5" customHeight="1">
      <c r="A12" s="9" t="s">
        <v>130</v>
      </c>
      <c r="B12" s="2" t="s">
        <v>131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2</v>
      </c>
      <c r="AI12" s="4">
        <v>0</v>
      </c>
      <c r="AJ12" s="4">
        <f t="shared" si="0"/>
        <v>0</v>
      </c>
      <c r="AK12" s="4">
        <f t="shared" si="1"/>
        <v>2</v>
      </c>
    </row>
    <row r="13" spans="1:37" ht="16.5" customHeight="1">
      <c r="A13" s="9" t="s">
        <v>132</v>
      </c>
      <c r="B13" s="2" t="s">
        <v>133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6</v>
      </c>
      <c r="AI13" s="4">
        <v>1</v>
      </c>
      <c r="AJ13" s="4">
        <f t="shared" si="0"/>
        <v>0</v>
      </c>
      <c r="AK13" s="4">
        <f t="shared" si="1"/>
        <v>7</v>
      </c>
    </row>
    <row r="14" spans="1:37" ht="16.5" customHeight="1">
      <c r="A14" s="9" t="s">
        <v>134</v>
      </c>
      <c r="B14" s="2" t="s">
        <v>135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5</v>
      </c>
      <c r="AI14" s="4">
        <v>0</v>
      </c>
      <c r="AJ14" s="4">
        <f t="shared" si="0"/>
        <v>0</v>
      </c>
      <c r="AK14" s="4">
        <f t="shared" si="1"/>
        <v>5</v>
      </c>
    </row>
    <row r="15" spans="1:37" ht="16.5" customHeight="1">
      <c r="A15" s="9" t="s">
        <v>136</v>
      </c>
      <c r="B15" s="2" t="s">
        <v>137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v>4</v>
      </c>
      <c r="AI15" s="4">
        <v>0</v>
      </c>
      <c r="AJ15" s="4">
        <f t="shared" si="0"/>
        <v>1</v>
      </c>
      <c r="AK15" s="4">
        <f t="shared" si="1"/>
        <v>3</v>
      </c>
    </row>
    <row r="16" spans="1:37" ht="16.5" customHeight="1">
      <c r="A16" s="9" t="s">
        <v>136</v>
      </c>
      <c r="B16" s="2" t="s">
        <v>138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4</v>
      </c>
      <c r="AI16" s="4">
        <v>0</v>
      </c>
      <c r="AJ16" s="4">
        <f t="shared" si="0"/>
        <v>0</v>
      </c>
      <c r="AK16" s="4">
        <f t="shared" si="1"/>
        <v>4</v>
      </c>
    </row>
    <row r="17" spans="1:37" ht="16.5" customHeight="1">
      <c r="A17" s="9" t="s">
        <v>139</v>
      </c>
      <c r="B17" s="2" t="s">
        <v>140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v>13</v>
      </c>
      <c r="AI17" s="4">
        <v>48</v>
      </c>
      <c r="AJ17" s="4">
        <f t="shared" si="0"/>
        <v>1</v>
      </c>
      <c r="AK17" s="4">
        <f t="shared" si="1"/>
        <v>60</v>
      </c>
    </row>
    <row r="18" spans="1:37" ht="16.5" customHeight="1">
      <c r="A18" s="9" t="s">
        <v>139</v>
      </c>
      <c r="B18" s="2" t="s">
        <v>141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0</v>
      </c>
      <c r="AI18" s="4">
        <v>48</v>
      </c>
      <c r="AJ18" s="4">
        <f t="shared" si="0"/>
        <v>0</v>
      </c>
      <c r="AK18" s="4">
        <f t="shared" si="1"/>
        <v>48</v>
      </c>
    </row>
    <row r="19" spans="1:37" ht="16.5" customHeight="1">
      <c r="A19" s="9" t="s">
        <v>139</v>
      </c>
      <c r="B19" s="2" t="s">
        <v>142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 s="4">
        <v>48</v>
      </c>
      <c r="AJ19" s="4">
        <f t="shared" si="0"/>
        <v>0</v>
      </c>
      <c r="AK19" s="4">
        <f t="shared" si="1"/>
        <v>48</v>
      </c>
    </row>
    <row r="20" spans="1:37" ht="16.5" customHeight="1">
      <c r="A20" s="9">
        <v>46175</v>
      </c>
      <c r="B20" s="2" t="s">
        <v>173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0</v>
      </c>
      <c r="AI20" s="4">
        <v>30</v>
      </c>
      <c r="AJ20" s="4">
        <v>0</v>
      </c>
      <c r="AK20" s="4">
        <f t="shared" ref="AK20:AK24" si="2">AH20+AI20-AJ20</f>
        <v>30</v>
      </c>
    </row>
    <row r="21" spans="1:37" ht="16.5" customHeight="1">
      <c r="A21" s="9">
        <v>46183</v>
      </c>
      <c r="B21" s="2" t="s">
        <v>174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v>0</v>
      </c>
      <c r="AI21" s="4">
        <v>30</v>
      </c>
      <c r="AJ21" s="4">
        <f t="shared" ref="AJ20:AJ24" si="3">SUM(C21:AG21)</f>
        <v>0</v>
      </c>
      <c r="AK21" s="4">
        <f t="shared" si="2"/>
        <v>30</v>
      </c>
    </row>
    <row r="22" spans="1:37" ht="16.5" customHeight="1">
      <c r="A22" s="9">
        <v>46167</v>
      </c>
      <c r="B22" s="2" t="s">
        <v>175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0</v>
      </c>
      <c r="AI22" s="4">
        <v>30</v>
      </c>
      <c r="AJ22" s="4">
        <f t="shared" si="3"/>
        <v>0</v>
      </c>
      <c r="AK22" s="4">
        <f t="shared" si="2"/>
        <v>30</v>
      </c>
    </row>
    <row r="23" spans="1:37" ht="16.5" customHeight="1">
      <c r="A23" s="9">
        <v>46520</v>
      </c>
      <c r="B23" s="2" t="s">
        <v>176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v>0</v>
      </c>
      <c r="AI23" s="4">
        <v>30</v>
      </c>
      <c r="AJ23" s="4">
        <f t="shared" si="3"/>
        <v>0</v>
      </c>
      <c r="AK23" s="4">
        <f t="shared" si="2"/>
        <v>30</v>
      </c>
    </row>
    <row r="24" spans="1:37" ht="16.5" customHeight="1">
      <c r="A24" s="9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  <c r="AI24" s="4"/>
      <c r="AJ24" s="4"/>
      <c r="AK24" s="4"/>
    </row>
    <row r="25" spans="1:37" ht="16.5" customHeight="1">
      <c r="A25" s="9" t="s">
        <v>143</v>
      </c>
      <c r="B25" s="2" t="s">
        <v>144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0</v>
      </c>
      <c r="AI25" s="4">
        <v>0</v>
      </c>
      <c r="AJ25" s="4">
        <f t="shared" si="0"/>
        <v>0</v>
      </c>
      <c r="AK25" s="4">
        <f t="shared" si="1"/>
        <v>0</v>
      </c>
    </row>
    <row r="26" spans="1:37" ht="16.5" customHeight="1">
      <c r="A26" s="18" t="s">
        <v>145</v>
      </c>
      <c r="B26" s="5" t="s">
        <v>146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5</v>
      </c>
      <c r="AI26" s="4">
        <v>0</v>
      </c>
      <c r="AJ26" s="4">
        <f t="shared" si="0"/>
        <v>0</v>
      </c>
      <c r="AK26" s="4">
        <f t="shared" si="1"/>
        <v>5</v>
      </c>
    </row>
    <row r="27" spans="1:37" ht="16.5" customHeight="1">
      <c r="A27" s="9" t="s">
        <v>147</v>
      </c>
      <c r="B27" s="2" t="s">
        <v>148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15</v>
      </c>
      <c r="AI27" s="4">
        <v>0</v>
      </c>
      <c r="AJ27" s="4">
        <f t="shared" si="0"/>
        <v>0</v>
      </c>
      <c r="AK27" s="4">
        <f t="shared" si="1"/>
        <v>15</v>
      </c>
    </row>
    <row r="28" spans="1:37" ht="16.5" customHeight="1">
      <c r="A28" s="9" t="s">
        <v>143</v>
      </c>
      <c r="B28" s="2" t="s">
        <v>149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12</v>
      </c>
      <c r="AI28" s="4">
        <v>0</v>
      </c>
      <c r="AJ28" s="4">
        <f t="shared" si="0"/>
        <v>0</v>
      </c>
      <c r="AK28" s="4">
        <f t="shared" si="1"/>
        <v>12</v>
      </c>
    </row>
    <row r="29" spans="1:37" ht="16.5" customHeight="1">
      <c r="A29" s="9" t="s">
        <v>150</v>
      </c>
      <c r="B29" s="2" t="s">
        <v>151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4">
        <v>10</v>
      </c>
      <c r="AI29" s="4">
        <v>0</v>
      </c>
      <c r="AJ29" s="4">
        <f t="shared" si="0"/>
        <v>0</v>
      </c>
      <c r="AK29" s="4">
        <f t="shared" si="1"/>
        <v>10</v>
      </c>
    </row>
    <row r="30" spans="1:37" ht="16.5" customHeight="1">
      <c r="A30" s="9" t="s">
        <v>152</v>
      </c>
      <c r="B30" s="2" t="s">
        <v>153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11</v>
      </c>
      <c r="AI30" s="4">
        <v>0</v>
      </c>
      <c r="AJ30" s="4">
        <f t="shared" si="0"/>
        <v>0</v>
      </c>
      <c r="AK30" s="4">
        <f t="shared" si="1"/>
        <v>11</v>
      </c>
    </row>
    <row r="31" spans="1:37" ht="16.5" customHeight="1">
      <c r="A31" s="9" t="s">
        <v>154</v>
      </c>
      <c r="B31" s="2" t="s">
        <v>155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</v>
      </c>
      <c r="L31" s="3">
        <v>4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4">
        <v>31</v>
      </c>
      <c r="AI31" s="4">
        <v>5</v>
      </c>
      <c r="AJ31" s="4">
        <f t="shared" si="0"/>
        <v>5</v>
      </c>
      <c r="AK31" s="4">
        <f t="shared" si="1"/>
        <v>31</v>
      </c>
    </row>
    <row r="32" spans="1:37" ht="16.5" customHeight="1">
      <c r="A32" s="9" t="s">
        <v>156</v>
      </c>
      <c r="B32" s="2" t="s">
        <v>157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40</v>
      </c>
      <c r="AI32" s="4">
        <v>1</v>
      </c>
      <c r="AJ32" s="4">
        <f t="shared" si="0"/>
        <v>1</v>
      </c>
      <c r="AK32" s="4">
        <f t="shared" si="1"/>
        <v>40</v>
      </c>
    </row>
    <row r="33" spans="1:37" ht="16.5" customHeight="1">
      <c r="A33" s="9" t="s">
        <v>105</v>
      </c>
      <c r="B33" s="2" t="s">
        <v>158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4">
        <v>6</v>
      </c>
      <c r="AI33" s="4">
        <v>0</v>
      </c>
      <c r="AJ33" s="4">
        <f t="shared" si="0"/>
        <v>0</v>
      </c>
      <c r="AK33" s="4">
        <f t="shared" si="1"/>
        <v>6</v>
      </c>
    </row>
    <row r="34" spans="1:37">
      <c r="A34" s="9" t="s">
        <v>105</v>
      </c>
      <c r="B34" s="2" t="s">
        <v>159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20</v>
      </c>
      <c r="AI34" s="4">
        <v>0</v>
      </c>
      <c r="AJ34" s="4">
        <f t="shared" si="0"/>
        <v>0</v>
      </c>
      <c r="AK34" s="4">
        <f t="shared" si="1"/>
        <v>20</v>
      </c>
    </row>
    <row r="35" spans="1:37" ht="16.5" customHeight="1">
      <c r="A35" s="1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>
        <v>0</v>
      </c>
      <c r="AI35" s="4">
        <v>0</v>
      </c>
      <c r="AJ35" s="4">
        <f t="shared" si="0"/>
        <v>0</v>
      </c>
      <c r="AK35" s="4">
        <f t="shared" si="1"/>
        <v>0</v>
      </c>
    </row>
    <row r="36" spans="1:37" ht="16.5" customHeight="1">
      <c r="A36" s="9" t="s">
        <v>160</v>
      </c>
      <c r="B36" s="2" t="s">
        <v>161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14</v>
      </c>
      <c r="AI36" s="4">
        <v>0</v>
      </c>
      <c r="AJ36" s="4">
        <f t="shared" si="0"/>
        <v>0</v>
      </c>
      <c r="AK36" s="4">
        <f t="shared" si="1"/>
        <v>14</v>
      </c>
    </row>
    <row r="37" spans="1:37" ht="16.5" customHeight="1">
      <c r="A37" s="9" t="s">
        <v>162</v>
      </c>
      <c r="B37" s="2" t="s">
        <v>163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4">
        <v>26</v>
      </c>
      <c r="AI37" s="4">
        <v>0</v>
      </c>
      <c r="AJ37" s="4">
        <f t="shared" si="0"/>
        <v>0</v>
      </c>
      <c r="AK37" s="4">
        <f t="shared" si="1"/>
        <v>26</v>
      </c>
    </row>
    <row r="38" spans="1:37" ht="16.5" customHeight="1">
      <c r="A38" s="9" t="s">
        <v>164</v>
      </c>
      <c r="B38" s="2" t="s">
        <v>165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4">
        <v>0</v>
      </c>
      <c r="AI38" s="4">
        <v>0</v>
      </c>
      <c r="AJ38" s="4">
        <f t="shared" si="0"/>
        <v>0</v>
      </c>
      <c r="AK38" s="4">
        <f t="shared" si="1"/>
        <v>0</v>
      </c>
    </row>
    <row r="39" spans="1:37" ht="16.5" customHeight="1">
      <c r="A39" s="9"/>
      <c r="B39" s="2" t="s">
        <v>166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4">
        <v>0</v>
      </c>
      <c r="AI39" s="4">
        <v>0</v>
      </c>
      <c r="AJ39" s="4">
        <f t="shared" si="0"/>
        <v>0</v>
      </c>
      <c r="AK39" s="4">
        <f t="shared" si="1"/>
        <v>0</v>
      </c>
    </row>
    <row r="40" spans="1:37">
      <c r="AK40" s="4"/>
    </row>
  </sheetData>
  <mergeCells count="1">
    <mergeCell ref="A1:AK1"/>
  </mergeCells>
  <phoneticPr fontId="6" type="noConversion"/>
  <conditionalFormatting sqref="A25:Q34 A36:Q38 A39:AH39 AK40 A20:AG24 AH20:AH38 AI20:AK39 A5:AK19">
    <cfRule type="expression" dxfId="11" priority="1" stopIfTrue="1">
      <formula>AND($A5-TODAY()&lt;=7, $A5-TODAY()&gt;=0)</formula>
    </cfRule>
  </conditionalFormatting>
  <conditionalFormatting sqref="R38:AG38">
    <cfRule type="expression" dxfId="10" priority="7" stopIfTrue="1">
      <formula>AND(#REF!-TODAY()&lt;=7, #REF!-TODAY()&gt;=0)</formula>
    </cfRule>
  </conditionalFormatting>
  <conditionalFormatting sqref="R25:AG37">
    <cfRule type="expression" dxfId="9" priority="11" stopIfTrue="1">
      <formula>AND($A26-TODAY()&lt;=7, $A26-TODAY()&gt;=0)</formula>
    </cfRule>
  </conditionalFormatting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tabSelected="1" workbookViewId="0">
      <pane ySplit="3" topLeftCell="A13" activePane="bottomLeft" state="frozen"/>
      <selection activeCell="G83" sqref="G83"/>
      <selection pane="bottomLeft" activeCell="C24" sqref="C24"/>
    </sheetView>
  </sheetViews>
  <sheetFormatPr defaultRowHeight="17.399999999999999"/>
  <cols>
    <col min="1" max="1" width="15" customWidth="1"/>
    <col min="2" max="2" width="30" customWidth="1"/>
    <col min="3" max="3" width="12" customWidth="1"/>
  </cols>
  <sheetData>
    <row r="1" spans="1:3" ht="35.1" customHeight="1">
      <c r="A1" s="21" t="s">
        <v>167</v>
      </c>
      <c r="B1" s="20"/>
      <c r="C1" s="20"/>
    </row>
    <row r="3" spans="1:3" ht="26.1" customHeight="1">
      <c r="A3" s="12" t="s">
        <v>168</v>
      </c>
      <c r="B3" s="12" t="s">
        <v>169</v>
      </c>
      <c r="C3" s="12" t="s">
        <v>170</v>
      </c>
    </row>
    <row r="4" spans="1:3" ht="20.100000000000001" customHeight="1">
      <c r="A4" s="16">
        <f>원재료!A4</f>
        <v>46793</v>
      </c>
      <c r="B4" s="14" t="str">
        <f>원재료!B4</f>
        <v>커피(퍼플-마스터피스)</v>
      </c>
      <c r="C4" s="15">
        <f>원재료!AK4</f>
        <v>17</v>
      </c>
    </row>
    <row r="5" spans="1:3" ht="20.100000000000001" customHeight="1">
      <c r="A5" s="16" t="str">
        <f>원재료!A5</f>
        <v>2026-10-27</v>
      </c>
      <c r="B5" s="14" t="str">
        <f>원재료!B5</f>
        <v>디카페인커피(퍼를-감성고릴라)</v>
      </c>
      <c r="C5" s="15">
        <f>원재료!AK5</f>
        <v>8</v>
      </c>
    </row>
    <row r="6" spans="1:3" ht="20.100000000000001" customHeight="1">
      <c r="A6" s="16" t="str">
        <f>원재료!A6</f>
        <v>2026-12-29</v>
      </c>
      <c r="B6" s="14" t="str">
        <f>원재료!B6</f>
        <v>시럽</v>
      </c>
      <c r="C6" s="15">
        <f>원재료!AK6</f>
        <v>7</v>
      </c>
    </row>
    <row r="7" spans="1:3" ht="20.100000000000001" customHeight="1">
      <c r="A7" s="16">
        <f>원재료!A7</f>
        <v>46213</v>
      </c>
      <c r="B7" s="14" t="str">
        <f>원재료!B7</f>
        <v>서울우유</v>
      </c>
      <c r="C7" s="15">
        <f>원재료!AK7</f>
        <v>9</v>
      </c>
    </row>
    <row r="8" spans="1:3" ht="20.100000000000001" customHeight="1">
      <c r="A8" s="16" t="str">
        <f>원재료!A8</f>
        <v>2028-01-22</v>
      </c>
      <c r="B8" s="14" t="str">
        <f>원재료!B8</f>
        <v>바닐라 파우더(퍼플랜드)</v>
      </c>
      <c r="C8" s="15">
        <f>원재료!AK8</f>
        <v>5</v>
      </c>
    </row>
    <row r="9" spans="1:3" ht="20.100000000000001" customHeight="1">
      <c r="A9" s="16" t="str">
        <f>원재료!A9</f>
        <v>2027-08-11</v>
      </c>
      <c r="B9" s="14" t="str">
        <f>원재료!B9</f>
        <v>초코 파우더(퍼플랜드)</v>
      </c>
      <c r="C9" s="15">
        <f>원재료!AK9</f>
        <v>4</v>
      </c>
    </row>
    <row r="10" spans="1:3" ht="20.100000000000001" customHeight="1">
      <c r="A10" s="16" t="str">
        <f>원재료!A10</f>
        <v>2027-04-04</v>
      </c>
      <c r="B10" s="14" t="str">
        <f>원재료!B10</f>
        <v>코코넛 파우더(퍼플랜드)</v>
      </c>
      <c r="C10" s="15">
        <f>원재료!AK10</f>
        <v>2</v>
      </c>
    </row>
    <row r="11" spans="1:3" ht="20.100000000000001" customHeight="1">
      <c r="A11" s="16" t="str">
        <f>원재료!A11</f>
        <v>2027-10-28</v>
      </c>
      <c r="B11" s="14" t="str">
        <f>원재료!B11</f>
        <v>복숭아 파우더(퍼플랜드</v>
      </c>
      <c r="C11" s="15">
        <f>원재료!AK11</f>
        <v>5</v>
      </c>
    </row>
    <row r="12" spans="1:3" ht="20.100000000000001" customHeight="1">
      <c r="A12" s="16" t="str">
        <f>원재료!A12</f>
        <v>2027-09-14</v>
      </c>
      <c r="B12" s="14" t="str">
        <f>원재료!B12</f>
        <v>플레인 파우더(퍼플랜드)</v>
      </c>
      <c r="C12" s="15">
        <f>원재료!AK12</f>
        <v>5</v>
      </c>
    </row>
    <row r="13" spans="1:3" ht="20.100000000000001" customHeight="1">
      <c r="A13" s="16" t="str">
        <f>원재료!A13</f>
        <v>2028-01-11</v>
      </c>
      <c r="B13" s="14" t="str">
        <f>원재료!B13</f>
        <v>말차 파우더(퍼플랜드)</v>
      </c>
      <c r="C13" s="15">
        <f>원재료!AK13</f>
        <v>5</v>
      </c>
    </row>
    <row r="14" spans="1:3" ht="20.100000000000001" customHeight="1">
      <c r="A14" s="16" t="str">
        <f>원재료!A14</f>
        <v>2027-06-03</v>
      </c>
      <c r="B14" s="14" t="str">
        <f>원재료!B14</f>
        <v>밀크 파우더(퍼플랜드)</v>
      </c>
      <c r="C14" s="15">
        <f>원재료!AK14</f>
        <v>3</v>
      </c>
    </row>
    <row r="15" spans="1:3" ht="20.100000000000001" customHeight="1">
      <c r="A15" s="16" t="str">
        <f>원재료!A15</f>
        <v>2027-05-12</v>
      </c>
      <c r="B15" s="14" t="str">
        <f>원재료!B15</f>
        <v>연유(메가)</v>
      </c>
      <c r="C15" s="15">
        <f>원재료!AK15</f>
        <v>1</v>
      </c>
    </row>
    <row r="16" spans="1:3" ht="20.100000000000001" customHeight="1">
      <c r="A16" s="16" t="str">
        <f>원재료!A16</f>
        <v>2027-05-21</v>
      </c>
      <c r="B16" s="14" t="str">
        <f>원재료!B16</f>
        <v>카라멜(메가)</v>
      </c>
      <c r="C16" s="15">
        <f>원재료!AK16</f>
        <v>0</v>
      </c>
    </row>
    <row r="17" spans="1:3" ht="20.100000000000001" customHeight="1">
      <c r="A17" s="16" t="str">
        <f>원재료!A17</f>
        <v>2026-09-09</v>
      </c>
      <c r="B17" s="14" t="str">
        <f>원재료!B17</f>
        <v>자몽 건조 과일(쿠팡)</v>
      </c>
      <c r="C17" s="15">
        <f>원재료!AK17</f>
        <v>0</v>
      </c>
    </row>
    <row r="18" spans="1:3" ht="20.100000000000001" customHeight="1">
      <c r="A18" s="16" t="str">
        <f>원재료!A18</f>
        <v>2027-09-04</v>
      </c>
      <c r="B18" s="14" t="str">
        <f>원재료!B18</f>
        <v>레몬 건조 과일(쿠팡)</v>
      </c>
      <c r="C18" s="15">
        <f>원재료!AK18</f>
        <v>2</v>
      </c>
    </row>
    <row r="19" spans="1:3" ht="20.100000000000001" customHeight="1">
      <c r="A19" s="16" t="str">
        <f>원재료!A19</f>
        <v>2027-07-03</v>
      </c>
      <c r="B19" s="14" t="str">
        <f>원재료!B19</f>
        <v>청귤 건초 과일(쿠팡)</v>
      </c>
      <c r="C19" s="15">
        <f>원재료!AK19</f>
        <v>0</v>
      </c>
    </row>
    <row r="20" spans="1:3" ht="20.100000000000001" customHeight="1">
      <c r="A20" s="16" t="str">
        <f>원재료!A20</f>
        <v>2027-07-12</v>
      </c>
      <c r="B20" s="14" t="str">
        <f>원재료!B20</f>
        <v>자몽 농축액(메가)</v>
      </c>
      <c r="C20" s="15">
        <f>원재료!AK20</f>
        <v>2</v>
      </c>
    </row>
    <row r="21" spans="1:3" ht="20.100000000000001" customHeight="1">
      <c r="A21" s="16" t="str">
        <f>원재료!A21</f>
        <v>2027-09-29</v>
      </c>
      <c r="B21" s="14" t="str">
        <f>원재료!B21</f>
        <v>레몬 농축액(메가)</v>
      </c>
      <c r="C21" s="15">
        <f>원재료!AK21</f>
        <v>3</v>
      </c>
    </row>
    <row r="22" spans="1:3" ht="20.100000000000001" customHeight="1">
      <c r="A22" s="16" t="str">
        <f>원재료!A22</f>
        <v>2027-07-14</v>
      </c>
      <c r="B22" s="14" t="str">
        <f>원재료!B22</f>
        <v>청귤 농축액(메가)</v>
      </c>
      <c r="C22" s="15">
        <f>원재료!AK22</f>
        <v>4</v>
      </c>
    </row>
    <row r="23" spans="1:3" ht="20.100000000000001" customHeight="1">
      <c r="A23" s="16" t="str">
        <f>원재료!A23</f>
        <v>2027-05-30</v>
      </c>
      <c r="B23" s="14" t="str">
        <f>원재료!B23</f>
        <v>감귤(네이버)</v>
      </c>
      <c r="C23" s="15">
        <f>원재료!AK23</f>
        <v>3</v>
      </c>
    </row>
    <row r="24" spans="1:3" ht="20.100000000000001" customHeight="1">
      <c r="A24" s="16" t="str">
        <f>원재료!A24</f>
        <v>2027-02-10</v>
      </c>
      <c r="B24" s="14" t="str">
        <f>원재료!B24</f>
        <v>수박주스(csf)</v>
      </c>
      <c r="C24" s="15">
        <f>원재료!AK24</f>
        <v>11</v>
      </c>
    </row>
    <row r="25" spans="1:3" ht="20.100000000000001" customHeight="1">
      <c r="A25" s="16" t="str">
        <f>원재료!A25</f>
        <v>2028-04-22</v>
      </c>
      <c r="B25" s="14" t="str">
        <f>원재료!B25</f>
        <v>냉동 딸기(메가)</v>
      </c>
      <c r="C25" s="15">
        <f>원재료!AK25</f>
        <v>2</v>
      </c>
    </row>
    <row r="26" spans="1:3" ht="20.100000000000001" customHeight="1">
      <c r="A26" s="16" t="str">
        <f>원재료!A26</f>
        <v>2027-01-20</v>
      </c>
      <c r="B26" s="14" t="str">
        <f>원재료!B26</f>
        <v>딸기잼(메가)</v>
      </c>
      <c r="C26" s="15">
        <f>원재료!AK26</f>
        <v>3</v>
      </c>
    </row>
    <row r="27" spans="1:3" ht="20.100000000000001" customHeight="1">
      <c r="A27" s="16" t="str">
        <f>원재료!A27</f>
        <v>2026-10-26</v>
      </c>
      <c r="B27" s="14" t="str">
        <f>원재료!B27</f>
        <v>블루베리쨈(메가)</v>
      </c>
      <c r="C27" s="15">
        <f>원재료!AK27</f>
        <v>1</v>
      </c>
    </row>
    <row r="28" spans="1:3" ht="20.100000000000001" customHeight="1">
      <c r="A28" s="16" t="str">
        <f>원재료!A28</f>
        <v>2027-05-21</v>
      </c>
      <c r="B28" s="14" t="str">
        <f>원재료!B28</f>
        <v>망고베이스(메가)</v>
      </c>
      <c r="C28" s="15">
        <f>원재료!AK28</f>
        <v>4</v>
      </c>
    </row>
    <row r="29" spans="1:3" ht="20.100000000000001" customHeight="1">
      <c r="A29" s="16" t="str">
        <f>원재료!A29</f>
        <v>2027-08-07</v>
      </c>
      <c r="B29" s="14" t="str">
        <f>원재료!B29</f>
        <v>탄산수 (박스30)메가</v>
      </c>
      <c r="C29" s="15">
        <f>원재료!AK29</f>
        <v>72</v>
      </c>
    </row>
    <row r="30" spans="1:3" ht="20.100000000000001" customHeight="1">
      <c r="A30" s="16" t="str">
        <f>원재료!A30</f>
        <v>2026-05-17</v>
      </c>
      <c r="B30" s="14" t="str">
        <f>원재료!B30</f>
        <v>빙수 팥(본사중앙창고)</v>
      </c>
      <c r="C30" s="15">
        <f>원재료!AK30</f>
        <v>5</v>
      </c>
    </row>
    <row r="31" spans="1:3" ht="20.100000000000001" customHeight="1">
      <c r="A31" s="16" t="str">
        <f>원재료!A31</f>
        <v>2026-11-10</v>
      </c>
      <c r="B31" s="14" t="str">
        <f>원재료!B31</f>
        <v>휘핑크림</v>
      </c>
      <c r="C31" s="15">
        <f>원재료!AK31</f>
        <v>10</v>
      </c>
    </row>
    <row r="32" spans="1:3" ht="20.100000000000001" customHeight="1">
      <c r="A32" s="16" t="str">
        <f>원재료!A32</f>
        <v>2026-12-20</v>
      </c>
      <c r="B32" s="14" t="str">
        <f>원재료!B32</f>
        <v>딸기 다이스</v>
      </c>
      <c r="C32" s="15">
        <f>원재료!AK32</f>
        <v>0</v>
      </c>
    </row>
    <row r="33" spans="1:3" ht="20.100000000000001" customHeight="1">
      <c r="A33" s="16" t="str">
        <f>원재료!A33</f>
        <v>2028-12-11</v>
      </c>
      <c r="B33" s="14" t="str">
        <f>원재료!B33</f>
        <v>그린올리브</v>
      </c>
      <c r="C33" s="15">
        <f>원재료!AK33</f>
        <v>9</v>
      </c>
    </row>
    <row r="34" spans="1:3" ht="20.100000000000001" customHeight="1">
      <c r="A34" s="16" t="str">
        <f>원재료!A34</f>
        <v>2027-11-04</v>
      </c>
      <c r="B34" s="14" t="str">
        <f>원재료!B34</f>
        <v>핫소스</v>
      </c>
      <c r="C34" s="15">
        <f>원재료!AK34</f>
        <v>0</v>
      </c>
    </row>
    <row r="35" spans="1:3" ht="20.100000000000001" customHeight="1">
      <c r="A35" s="16" t="str">
        <f>원재료!A35</f>
        <v>2027-03-09</v>
      </c>
      <c r="B35" s="14" t="str">
        <f>원재료!B35</f>
        <v>파슬리</v>
      </c>
      <c r="C35" s="15">
        <f>원재료!AK35</f>
        <v>0</v>
      </c>
    </row>
    <row r="36" spans="1:3" ht="20.100000000000001" customHeight="1">
      <c r="A36" s="16" t="str">
        <f>원재료!A36</f>
        <v>2028-04-25</v>
      </c>
      <c r="B36" s="14" t="str">
        <f>원재료!B36</f>
        <v>오미자차(본사중앙창고)</v>
      </c>
      <c r="C36" s="15">
        <f>원재료!AK36</f>
        <v>43</v>
      </c>
    </row>
    <row r="37" spans="1:3" ht="20.100000000000001" customHeight="1">
      <c r="A37" s="16" t="str">
        <f>원재료!A37</f>
        <v>2028-04-25</v>
      </c>
      <c r="B37" s="14" t="str">
        <f>원재료!B37</f>
        <v>밀크티(본사중앙창고)</v>
      </c>
      <c r="C37" s="15">
        <f>원재료!AK37</f>
        <v>3</v>
      </c>
    </row>
    <row r="38" spans="1:3" ht="20.100000000000001" customHeight="1">
      <c r="A38" s="16" t="str">
        <f>원재료!A38</f>
        <v>2026-09-05</v>
      </c>
      <c r="B38" s="14" t="str">
        <f>원재료!B38</f>
        <v>복숭아티</v>
      </c>
      <c r="C38" s="15">
        <f>원재료!AK38</f>
        <v>6</v>
      </c>
    </row>
    <row r="39" spans="1:3" ht="20.100000000000001" customHeight="1">
      <c r="A39" s="16" t="str">
        <f>원재료!A39</f>
        <v>2026-11-10</v>
      </c>
      <c r="B39" s="14" t="str">
        <f>원재료!B39</f>
        <v>땅콩버터(Crunchy)</v>
      </c>
      <c r="C39" s="15">
        <f>원재료!AK39</f>
        <v>36</v>
      </c>
    </row>
    <row r="40" spans="1:3" ht="20.100000000000001" customHeight="1">
      <c r="A40" s="16" t="str">
        <f>원재료!A40</f>
        <v>2026-10-08</v>
      </c>
      <c r="B40" s="14" t="str">
        <f>원재료!B40</f>
        <v>인절미(빙수용)</v>
      </c>
      <c r="C40" s="15">
        <f>원재료!AK40</f>
        <v>1</v>
      </c>
    </row>
    <row r="41" spans="1:3" ht="19.8" customHeight="1">
      <c r="A41" s="16" t="str">
        <f>원재료!A41</f>
        <v>2026-09-06</v>
      </c>
      <c r="B41" s="14" t="str">
        <f>원재료!B41</f>
        <v>커피땅콩</v>
      </c>
      <c r="C41" s="15">
        <f>원재료!AK41</f>
        <v>1</v>
      </c>
    </row>
    <row r="42" spans="1:3" ht="19.8" customHeight="1">
      <c r="A42" s="16">
        <f>원재료!A42</f>
        <v>47011</v>
      </c>
      <c r="B42" s="14" t="str">
        <f>원재료!B42</f>
        <v>냉동 망고 다이스</v>
      </c>
      <c r="C42" s="15">
        <f>원재료!AK42</f>
        <v>2</v>
      </c>
    </row>
    <row r="43" spans="1:3" ht="19.8" customHeight="1">
      <c r="A43" s="16">
        <f>원재료!A43</f>
        <v>47180</v>
      </c>
      <c r="B43" s="14" t="str">
        <f>원재료!B43</f>
        <v>냉동 수박 다이스</v>
      </c>
      <c r="C43" s="15">
        <f>원재료!AK43</f>
        <v>5</v>
      </c>
    </row>
    <row r="44" spans="1:3" ht="19.8" customHeight="1">
      <c r="A44" s="16">
        <f>원재료!A44</f>
        <v>46919</v>
      </c>
      <c r="B44" s="14" t="str">
        <f>원재료!B44</f>
        <v>냉동 아보카도 다이스</v>
      </c>
      <c r="C44" s="15">
        <f>원재료!AK44</f>
        <v>4</v>
      </c>
    </row>
  </sheetData>
  <mergeCells count="1">
    <mergeCell ref="A1:C1"/>
  </mergeCells>
  <phoneticPr fontId="6" type="noConversion"/>
  <conditionalFormatting sqref="A4:C44">
    <cfRule type="expression" dxfId="8" priority="1" stopIfTrue="1">
      <formula>AND($A4-TODAY()&lt;=7, $A4-TODAY()&gt;=0)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3" topLeftCell="A4" activePane="bottomLeft" state="frozen"/>
      <selection activeCell="G83" sqref="G83"/>
      <selection pane="bottomLeft" activeCell="G83" sqref="G83"/>
    </sheetView>
  </sheetViews>
  <sheetFormatPr defaultRowHeight="17.399999999999999"/>
  <cols>
    <col min="1" max="1" width="15" customWidth="1"/>
    <col min="2" max="2" width="30" customWidth="1"/>
    <col min="3" max="3" width="12" customWidth="1"/>
  </cols>
  <sheetData>
    <row r="1" spans="1:3" ht="35.1" customHeight="1">
      <c r="A1" s="21" t="s">
        <v>171</v>
      </c>
      <c r="B1" s="20"/>
      <c r="C1" s="20"/>
    </row>
    <row r="3" spans="1:3" ht="26.1" customHeight="1">
      <c r="A3" s="12" t="s">
        <v>168</v>
      </c>
      <c r="B3" s="12" t="s">
        <v>169</v>
      </c>
      <c r="C3" s="12" t="s">
        <v>170</v>
      </c>
    </row>
    <row r="4" spans="1:3" ht="20.100000000000001" customHeight="1">
      <c r="A4" s="13">
        <f>부자재!A4</f>
        <v>0</v>
      </c>
      <c r="B4" s="14" t="str">
        <f>부자재!B4</f>
        <v>아이스 컵(메가)  (줄)</v>
      </c>
      <c r="C4" s="15">
        <f>부자재!AK4</f>
        <v>0</v>
      </c>
    </row>
    <row r="5" spans="1:3" ht="20.100000000000001" customHeight="1">
      <c r="A5" s="13">
        <f>부자재!A5</f>
        <v>0</v>
      </c>
      <c r="B5" s="14" t="str">
        <f>부자재!B5</f>
        <v>핫 컵  (줄)</v>
      </c>
      <c r="C5" s="15">
        <f>부자재!AK5</f>
        <v>0</v>
      </c>
    </row>
    <row r="6" spans="1:3" ht="20.100000000000001" customHeight="1">
      <c r="A6" s="13">
        <f>부자재!A6</f>
        <v>0</v>
      </c>
      <c r="B6" s="14" t="str">
        <f>부자재!B6</f>
        <v>핫 두껑 (줄)</v>
      </c>
      <c r="C6" s="15">
        <f>부자재!AK6</f>
        <v>0</v>
      </c>
    </row>
    <row r="7" spans="1:3" ht="20.100000000000001" customHeight="1">
      <c r="A7" s="13">
        <f>부자재!A7</f>
        <v>0</v>
      </c>
      <c r="B7" s="14" t="str">
        <f>부자재!B7</f>
        <v>아이스 뚜껑(98파이-메가)  (줄)</v>
      </c>
      <c r="C7" s="15">
        <f>부자재!AK7</f>
        <v>0</v>
      </c>
    </row>
    <row r="8" spans="1:3" ht="20.100000000000001" customHeight="1">
      <c r="A8" s="13">
        <f>부자재!A8</f>
        <v>0</v>
      </c>
      <c r="B8" s="14" t="str">
        <f>부자재!B8</f>
        <v>스무디 뚜껑(98파이-메가)  (줄)</v>
      </c>
      <c r="C8" s="15">
        <f>부자재!AK8</f>
        <v>0</v>
      </c>
    </row>
    <row r="9" spans="1:3" ht="20.100000000000001" customHeight="1">
      <c r="A9" s="13">
        <f>부자재!A9</f>
        <v>0</v>
      </c>
      <c r="B9" s="14" t="str">
        <f>부자재!B9</f>
        <v>아이스 컵(메가) 14oz  (줄)</v>
      </c>
      <c r="C9" s="15">
        <f>부자재!AK9</f>
        <v>0</v>
      </c>
    </row>
    <row r="10" spans="1:3" ht="20.100000000000001" customHeight="1">
      <c r="A10" s="13">
        <f>부자재!A10</f>
        <v>0</v>
      </c>
      <c r="B10" s="14" t="str">
        <f>부자재!B10</f>
        <v>컵홀더(본사중앙창고)</v>
      </c>
      <c r="C10" s="15">
        <f>부자재!AK10</f>
        <v>0</v>
      </c>
    </row>
    <row r="11" spans="1:3" ht="20.100000000000001" customHeight="1">
      <c r="A11" s="13">
        <f>부자재!A11</f>
        <v>0</v>
      </c>
      <c r="B11" s="14" t="str">
        <f>부자재!B11</f>
        <v>빨대 (소) 커피용</v>
      </c>
      <c r="C11" s="15">
        <f>부자재!AK11</f>
        <v>0</v>
      </c>
    </row>
    <row r="12" spans="1:3" ht="20.100000000000001" customHeight="1">
      <c r="A12" s="13">
        <f>부자재!A12</f>
        <v>0</v>
      </c>
      <c r="B12" s="14" t="str">
        <f>부자재!B12</f>
        <v>빨대 (대) 스무디용</v>
      </c>
      <c r="C12" s="15">
        <f>부자재!AK12</f>
        <v>0</v>
      </c>
    </row>
    <row r="13" spans="1:3" ht="20.100000000000001" customHeight="1">
      <c r="A13" s="13">
        <f>부자재!A13</f>
        <v>0</v>
      </c>
      <c r="B13" s="14" t="str">
        <f>부자재!B13</f>
        <v>세정제 커피 클린</v>
      </c>
      <c r="C13" s="15">
        <f>부자재!AK13</f>
        <v>0</v>
      </c>
    </row>
  </sheetData>
  <mergeCells count="1">
    <mergeCell ref="A1:C1"/>
  </mergeCells>
  <phoneticPr fontId="6" type="noConversion"/>
  <conditionalFormatting sqref="A4:C13">
    <cfRule type="expression" dxfId="7" priority="1" stopIfTrue="1">
      <formula>AND($A4-TODAY()&lt;=7, $A4-TODAY()&gt;=0)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"/>
  <sheetViews>
    <sheetView workbookViewId="0">
      <pane ySplit="3" topLeftCell="A10" activePane="bottomLeft" state="frozen"/>
      <selection activeCell="G83" sqref="G83"/>
      <selection pane="bottomLeft" activeCell="I20" sqref="I20"/>
    </sheetView>
  </sheetViews>
  <sheetFormatPr defaultRowHeight="17.399999999999999"/>
  <cols>
    <col min="1" max="1" width="15" customWidth="1"/>
    <col min="2" max="2" width="30" customWidth="1"/>
    <col min="3" max="3" width="12" customWidth="1"/>
  </cols>
  <sheetData>
    <row r="1" spans="1:3" ht="35.1" customHeight="1">
      <c r="A1" s="21" t="s">
        <v>172</v>
      </c>
      <c r="B1" s="20"/>
      <c r="C1" s="20"/>
    </row>
    <row r="3" spans="1:3" ht="26.1" customHeight="1">
      <c r="A3" s="12" t="s">
        <v>168</v>
      </c>
      <c r="B3" s="12" t="s">
        <v>169</v>
      </c>
      <c r="C3" s="12" t="s">
        <v>170</v>
      </c>
    </row>
    <row r="4" spans="1:3" ht="20.100000000000001" customHeight="1">
      <c r="A4" s="13">
        <f>'디저트&amp;완제품'!A4</f>
        <v>0</v>
      </c>
      <c r="B4" s="14">
        <f>'디저트&amp;완제품'!B4</f>
        <v>0</v>
      </c>
      <c r="C4" s="15">
        <f>'디저트&amp;완제품'!AK4</f>
        <v>0</v>
      </c>
    </row>
    <row r="5" spans="1:3" ht="20.100000000000001" customHeight="1">
      <c r="A5" s="13" t="str">
        <f>'디저트&amp;완제품'!A5</f>
        <v>2026-09-29</v>
      </c>
      <c r="B5" s="14" t="str">
        <f>'디저트&amp;완제품'!B5</f>
        <v>고르곤졸라피자(시카고)</v>
      </c>
      <c r="C5" s="15">
        <f>'디저트&amp;완제품'!AK5</f>
        <v>29</v>
      </c>
    </row>
    <row r="6" spans="1:3" ht="20.100000000000001" customHeight="1">
      <c r="A6" s="13" t="str">
        <f>'디저트&amp;완제품'!A6</f>
        <v>2026-09-22</v>
      </c>
      <c r="B6" s="14" t="str">
        <f>'디저트&amp;완제품'!B6</f>
        <v>치킨 피자(시카고)</v>
      </c>
      <c r="C6" s="15">
        <f>'디저트&amp;완제품'!AK6</f>
        <v>29</v>
      </c>
    </row>
    <row r="7" spans="1:3" ht="20.100000000000001" customHeight="1">
      <c r="A7" s="16" t="str">
        <f>'디저트&amp;완제품'!A7</f>
        <v>2026-09-01</v>
      </c>
      <c r="B7" s="14" t="str">
        <f>'디저트&amp;완제품'!B7</f>
        <v>페페로니 피자(시카고)</v>
      </c>
      <c r="C7" s="15">
        <f>'디저트&amp;완제품'!AK7</f>
        <v>33</v>
      </c>
    </row>
    <row r="8" spans="1:3" ht="20.100000000000001" customHeight="1">
      <c r="A8" s="16" t="str">
        <f>'디저트&amp;완제품'!A8</f>
        <v>2026-10-26</v>
      </c>
      <c r="B8" s="14" t="str">
        <f>'디저트&amp;완제품'!B8</f>
        <v>콤비네이션  씬피자</v>
      </c>
      <c r="C8" s="15">
        <f>'디저트&amp;완제품'!AK8</f>
        <v>26</v>
      </c>
    </row>
    <row r="9" spans="1:3" ht="20.100000000000001" customHeight="1">
      <c r="A9" s="16" t="str">
        <f>'디저트&amp;완제품'!A9</f>
        <v>2026-10-26</v>
      </c>
      <c r="B9" s="14" t="str">
        <f>'디저트&amp;완제품'!B9</f>
        <v>고르곤존라  씬피자</v>
      </c>
      <c r="C9" s="15">
        <f>'디저트&amp;완제품'!AK9</f>
        <v>26</v>
      </c>
    </row>
    <row r="10" spans="1:3" ht="20.100000000000001" customHeight="1">
      <c r="A10" s="16" t="str">
        <f>'디저트&amp;완제품'!A10</f>
        <v>2026-10-08</v>
      </c>
      <c r="B10" s="14" t="str">
        <f>'디저트&amp;완제품'!B10</f>
        <v>불고기  씬피자</v>
      </c>
      <c r="C10" s="15">
        <f>'디저트&amp;완제품'!AK10</f>
        <v>10</v>
      </c>
    </row>
    <row r="11" spans="1:3" ht="20.100000000000001" customHeight="1">
      <c r="A11" s="16" t="str">
        <f>'디저트&amp;완제품'!A11</f>
        <v>2028-01-08</v>
      </c>
      <c r="B11" s="14" t="str">
        <f>'디저트&amp;완제품'!B11</f>
        <v>시세 치킨 윙(네이버)</v>
      </c>
      <c r="C11" s="15">
        <f>'디저트&amp;완제품'!AK11</f>
        <v>3</v>
      </c>
    </row>
    <row r="12" spans="1:3" ht="20.100000000000001" customHeight="1">
      <c r="A12" s="16" t="str">
        <f>'디저트&amp;완제품'!A12</f>
        <v>2027-12-24</v>
      </c>
      <c r="B12" s="14" t="str">
        <f>'디저트&amp;완제품'!B12</f>
        <v>시세 치킨 봉(네이버)</v>
      </c>
      <c r="C12" s="15">
        <f>'디저트&amp;완제품'!AK12</f>
        <v>2</v>
      </c>
    </row>
    <row r="13" spans="1:3" ht="20.100000000000001" customHeight="1">
      <c r="A13" s="16" t="str">
        <f>'디저트&amp;완제품'!A14</f>
        <v>2026-07-21</v>
      </c>
      <c r="B13" s="14" t="str">
        <f>'디저트&amp;완제품'!B14</f>
        <v>까르보나라 파스타(쉐프엠-온라인)</v>
      </c>
      <c r="C13" s="15">
        <f>'디저트&amp;완제품'!AK14</f>
        <v>5</v>
      </c>
    </row>
    <row r="14" spans="1:3" ht="20.100000000000001" customHeight="1">
      <c r="A14" s="16" t="str">
        <f>'디저트&amp;완제품'!A15</f>
        <v>2026-07-17</v>
      </c>
      <c r="B14" s="14" t="str">
        <f>'디저트&amp;완제품'!B15</f>
        <v>투움바 파스타(쉐프엠-온라인)</v>
      </c>
      <c r="C14" s="15">
        <f>'디저트&amp;완제품'!AK15</f>
        <v>3</v>
      </c>
    </row>
    <row r="15" spans="1:3" ht="20.100000000000001" customHeight="1">
      <c r="A15" s="16" t="str">
        <f>'디저트&amp;완제품'!A16</f>
        <v>2026-07-17</v>
      </c>
      <c r="B15" s="14" t="str">
        <f>'디저트&amp;완제품'!B16</f>
        <v>라구파스타(쉐프엠- 온라인)</v>
      </c>
      <c r="C15" s="15">
        <f>'디저트&amp;완제품'!AK16</f>
        <v>4</v>
      </c>
    </row>
    <row r="16" spans="1:3" ht="20.100000000000001" customHeight="1">
      <c r="A16" s="16" t="str">
        <f>'디저트&amp;완제품'!A17</f>
        <v>2026-11-18</v>
      </c>
      <c r="B16" s="14" t="str">
        <f>'디저트&amp;완제품'!B17</f>
        <v>소불고기 볶음밥</v>
      </c>
      <c r="C16" s="15">
        <f>'디저트&amp;완제품'!AK17</f>
        <v>60</v>
      </c>
    </row>
    <row r="17" spans="1:3" ht="20.100000000000001" customHeight="1">
      <c r="A17" s="16" t="str">
        <f>'디저트&amp;완제품'!A18</f>
        <v>2026-11-18</v>
      </c>
      <c r="B17" s="14" t="str">
        <f>'디저트&amp;완제품'!B18</f>
        <v>대패삼겹살볶음밥</v>
      </c>
      <c r="C17" s="15">
        <f>'디저트&amp;완제품'!AK18</f>
        <v>48</v>
      </c>
    </row>
    <row r="18" spans="1:3" ht="20.100000000000001" customHeight="1">
      <c r="A18" s="16" t="str">
        <f>'디저트&amp;완제품'!A19</f>
        <v>2026-11-18</v>
      </c>
      <c r="B18" s="14" t="str">
        <f>'디저트&amp;완제품'!B19</f>
        <v>간장버터계란밥</v>
      </c>
      <c r="C18" s="15">
        <f>'디저트&amp;완제품'!AK19</f>
        <v>48</v>
      </c>
    </row>
    <row r="19" spans="1:3" ht="20.100000000000001" customHeight="1">
      <c r="A19" s="16">
        <f>'디저트&amp;완제품'!A20</f>
        <v>46175</v>
      </c>
      <c r="B19" s="14" t="str">
        <f>'디저트&amp;완제품'!B20</f>
        <v>묵은지 볶음밥</v>
      </c>
      <c r="C19" s="15">
        <f>'디저트&amp;완제품'!AK20</f>
        <v>30</v>
      </c>
    </row>
    <row r="20" spans="1:3" ht="20.100000000000001" customHeight="1">
      <c r="A20" s="16">
        <f>'디저트&amp;완제품'!A21</f>
        <v>46183</v>
      </c>
      <c r="B20" s="14" t="str">
        <f>'디저트&amp;완제품'!B21</f>
        <v>치킨데리야끼 볶음밥</v>
      </c>
      <c r="C20" s="15">
        <f>'디저트&amp;완제품'!AK21</f>
        <v>30</v>
      </c>
    </row>
    <row r="21" spans="1:3" ht="20.100000000000001" customHeight="1">
      <c r="A21" s="16">
        <f>'디저트&amp;완제품'!A22</f>
        <v>46167</v>
      </c>
      <c r="B21" s="14" t="str">
        <f>'디저트&amp;완제품'!B22</f>
        <v>해물 볶음밥</v>
      </c>
      <c r="C21" s="15">
        <f>'디저트&amp;완제품'!AK22</f>
        <v>30</v>
      </c>
    </row>
    <row r="22" spans="1:3" ht="20.100000000000001" customHeight="1">
      <c r="A22" s="16">
        <f>'디저트&amp;완제품'!A23</f>
        <v>46520</v>
      </c>
      <c r="B22" s="14" t="str">
        <f>'디저트&amp;완제품'!B23</f>
        <v>참치 볶음밥</v>
      </c>
      <c r="C22" s="15">
        <f>'디저트&amp;완제품'!AK23</f>
        <v>30</v>
      </c>
    </row>
    <row r="23" spans="1:3" ht="20.100000000000001" customHeight="1">
      <c r="A23" s="16" t="str">
        <f>'디저트&amp;완제품'!A25</f>
        <v>2027-01-03</v>
      </c>
      <c r="B23" s="14" t="str">
        <f>'디저트&amp;완제품'!B25</f>
        <v>얼그레이 곰돌(파미유-절판)</v>
      </c>
      <c r="C23" s="15">
        <f>'디저트&amp;완제품'!AK25</f>
        <v>0</v>
      </c>
    </row>
    <row r="24" spans="1:3" ht="20.100000000000001" customHeight="1">
      <c r="A24" s="16" t="str">
        <f>'디저트&amp;완제품'!A26</f>
        <v>2026-06-19 00:00:00</v>
      </c>
      <c r="B24" s="14" t="str">
        <f>'디저트&amp;완제품'!B26</f>
        <v>카라멜 곰돌이 마들렌(파미유)</v>
      </c>
      <c r="C24" s="15">
        <f>'디저트&amp;완제품'!AK26</f>
        <v>5</v>
      </c>
    </row>
    <row r="25" spans="1:3" ht="20.100000000000001" customHeight="1">
      <c r="A25" s="16" t="str">
        <f>'디저트&amp;완제품'!A27</f>
        <v>2027-01-10</v>
      </c>
      <c r="B25" s="14" t="str">
        <f>'디저트&amp;완제품'!B27</f>
        <v>초코 곰돌이 마들렌(파미유)</v>
      </c>
      <c r="C25" s="15">
        <f>'디저트&amp;완제품'!AK27</f>
        <v>15</v>
      </c>
    </row>
    <row r="26" spans="1:3" ht="20.100000000000001" customHeight="1">
      <c r="A26" s="16" t="str">
        <f>'디저트&amp;완제품'!A28</f>
        <v>2027-01-03</v>
      </c>
      <c r="B26" s="14" t="str">
        <f>'디저트&amp;완제품'!B28</f>
        <v>플레인 곰돌이 마늘렌(파미유)</v>
      </c>
      <c r="C26" s="15">
        <f>'디저트&amp;완제품'!AK28</f>
        <v>12</v>
      </c>
    </row>
    <row r="27" spans="1:3" ht="20.100000000000001" customHeight="1">
      <c r="A27" s="16" t="str">
        <f>'디저트&amp;완제품'!A29</f>
        <v>2027-01-27</v>
      </c>
      <c r="B27" s="14" t="str">
        <f>'디저트&amp;완제품'!B29</f>
        <v>치즈 스틱케이(파미유)</v>
      </c>
      <c r="C27" s="15">
        <f>'디저트&amp;완제품'!AK29</f>
        <v>10</v>
      </c>
    </row>
    <row r="28" spans="1:3" ht="20.100000000000001" customHeight="1">
      <c r="A28" s="16" t="str">
        <f>'디저트&amp;완제품'!A30</f>
        <v>2027-01-06</v>
      </c>
      <c r="B28" s="14" t="str">
        <f>'디저트&amp;완제품'!B30</f>
        <v>쿠키앤치즈 스틱케이(파미유)</v>
      </c>
      <c r="C28" s="15">
        <f>'디저트&amp;완제품'!AK30</f>
        <v>11</v>
      </c>
    </row>
    <row r="29" spans="1:3" ht="20.100000000000001" customHeight="1">
      <c r="A29" s="16" t="str">
        <f>'디저트&amp;완제품'!A31</f>
        <v>2026-08-24</v>
      </c>
      <c r="B29" s="14" t="str">
        <f>'디저트&amp;완제품'!B31</f>
        <v>링도넛츠 -초코(파미유)</v>
      </c>
      <c r="C29" s="15">
        <f>'디저트&amp;완제품'!AK31</f>
        <v>31</v>
      </c>
    </row>
    <row r="30" spans="1:3" ht="20.100000000000001" customHeight="1">
      <c r="A30" s="16" t="str">
        <f>'디저트&amp;완제품'!A32</f>
        <v>2026-09-13</v>
      </c>
      <c r="B30" s="14" t="str">
        <f>'디저트&amp;완제품'!B32</f>
        <v>링도넛츠 -글레이츠(파미유)</v>
      </c>
      <c r="C30" s="15">
        <f>'디저트&amp;완제품'!AK32</f>
        <v>40</v>
      </c>
    </row>
    <row r="31" spans="1:3" ht="20.100000000000001" customHeight="1">
      <c r="A31" s="16" t="str">
        <f>'디저트&amp;완제품'!A33</f>
        <v>2026-10-08</v>
      </c>
      <c r="B31" s="14" t="str">
        <f>'디저트&amp;완제품'!B33</f>
        <v>카야 대만샌드위치(파미유)</v>
      </c>
      <c r="C31" s="15">
        <f>'디저트&amp;완제품'!AK33</f>
        <v>6</v>
      </c>
    </row>
    <row r="32" spans="1:3" ht="20.100000000000001" customHeight="1">
      <c r="A32" s="16" t="str">
        <f>'디저트&amp;완제품'!A34</f>
        <v>2026-10-08</v>
      </c>
      <c r="B32" s="14" t="str">
        <f>'디저트&amp;완제품'!B34</f>
        <v>햄치즈 대만샌드위치(파미유)</v>
      </c>
      <c r="C32" s="15">
        <f>'디저트&amp;완제품'!AK34</f>
        <v>20</v>
      </c>
    </row>
    <row r="33" spans="1:3" ht="20.100000000000001" customHeight="1">
      <c r="A33" s="16" t="str">
        <f>'디저트&amp;완제품'!A36</f>
        <v>2026-11-03</v>
      </c>
      <c r="B33" s="14" t="str">
        <f>'디저트&amp;완제품'!B36</f>
        <v>마카다미아</v>
      </c>
      <c r="C33" s="15">
        <f>'디저트&amp;완제품'!AK36</f>
        <v>14</v>
      </c>
    </row>
    <row r="34" spans="1:3" ht="20.100000000000001" customHeight="1">
      <c r="A34" s="16" t="str">
        <f>'디저트&amp;완제품'!A37</f>
        <v>2027-10-16</v>
      </c>
      <c r="B34" s="14" t="str">
        <f>'디저트&amp;완제품'!B37</f>
        <v>초코렛</v>
      </c>
      <c r="C34" s="15">
        <f>'디저트&amp;완제품'!AK37</f>
        <v>26</v>
      </c>
    </row>
    <row r="35" spans="1:3" ht="20.100000000000001" customHeight="1">
      <c r="A35" s="16" t="str">
        <f>'디저트&amp;완제품'!A38</f>
        <v>2026-11-26</v>
      </c>
      <c r="B35" s="14" t="str">
        <f>'디저트&amp;완제품'!B38</f>
        <v>아몬드(빙수)</v>
      </c>
      <c r="C35" s="15">
        <f>'디저트&amp;완제품'!AK38</f>
        <v>0</v>
      </c>
    </row>
    <row r="36" spans="1:3" ht="20.100000000000001" customHeight="1">
      <c r="A36" s="16" t="str">
        <f>'디저트&amp;완제품'!A13</f>
        <v>2028-03-23</v>
      </c>
      <c r="B36" s="14" t="str">
        <f>'디저트&amp;완제품'!B13</f>
        <v>점보 매콤닭다리</v>
      </c>
      <c r="C36" s="15">
        <f>'디저트&amp;완제품'!AK13</f>
        <v>7</v>
      </c>
    </row>
    <row r="37" spans="1:3" ht="20.100000000000001" customHeight="1">
      <c r="A37" s="16">
        <f>'디저트&amp;완제품'!A39</f>
        <v>0</v>
      </c>
      <c r="B37" s="14" t="str">
        <f>'디저트&amp;완제품'!B39</f>
        <v>떡볶이</v>
      </c>
      <c r="C37" s="15">
        <f>'디저트&amp;완제품'!AK39</f>
        <v>0</v>
      </c>
    </row>
  </sheetData>
  <mergeCells count="1">
    <mergeCell ref="A1:C1"/>
  </mergeCells>
  <phoneticPr fontId="6" type="noConversion"/>
  <conditionalFormatting sqref="A4:C18 A23:C37 C19:C21 A19:A22">
    <cfRule type="expression" dxfId="6" priority="7" stopIfTrue="1">
      <formula>AND($A4-TODAY()&lt;=7, $A4-TODAY()&gt;=0)</formula>
    </cfRule>
  </conditionalFormatting>
  <conditionalFormatting sqref="B19:B21">
    <cfRule type="expression" dxfId="3" priority="4" stopIfTrue="1">
      <formula>AND($A19-TODAY()&lt;=7, $A19-TODAY()&gt;=0)</formula>
    </cfRule>
  </conditionalFormatting>
  <conditionalFormatting sqref="C22">
    <cfRule type="expression" dxfId="2" priority="3" stopIfTrue="1">
      <formula>AND($A22-TODAY()&lt;=7, $A22-TODAY()&gt;=0)</formula>
    </cfRule>
  </conditionalFormatting>
  <conditionalFormatting sqref="B22">
    <cfRule type="expression" dxfId="0" priority="1" stopIfTrue="1">
      <formula>AND($A22-TODAY()&lt;=7, $A22-TODAY()&gt;=0)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원재료</vt:lpstr>
      <vt:lpstr>부자재</vt:lpstr>
      <vt:lpstr>디저트&amp;완제품</vt:lpstr>
      <vt:lpstr>원재료(간략)</vt:lpstr>
      <vt:lpstr>부자재(간략)</vt:lpstr>
      <vt:lpstr>디저트&amp;완제품(간략)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2026-06-24T13:26:40Z</dcterms:created>
  <dcterms:modified xsi:type="dcterms:W3CDTF">2026-07-02T10:25:32Z</dcterms:modified>
</cp:coreProperties>
</file>